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wnloads\MediaBridge\casa-apuestas-ejemplo\2026-09-04\plantillas\"/>
    </mc:Choice>
  </mc:AlternateContent>
  <xr:revisionPtr revIDLastSave="0" documentId="13_ncr:1_{E6E3CD50-1C9E-4C69-95C9-204936687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Inicio" sheetId="1" r:id="rId1"/>
    <sheet name="01_Plataformas" sheetId="2" r:id="rId2"/>
    <sheet name="02_Carpetas_docs" sheetId="3" r:id="rId3"/>
    <sheet name="03_UTMs" sheetId="4" r:id="rId4"/>
    <sheet name="04_Catalogos" sheetId="5" r:id="rId5"/>
  </sheets>
  <definedNames>
    <definedName name="_xlnm._FilterDatabase" localSheetId="1" hidden="1">'01_Plataformas'!$A$8:$H$36</definedName>
    <definedName name="_xlnm.Print_Area" localSheetId="0">'00_Inicio'!$A$1:$J$28</definedName>
    <definedName name="_xlnm.Print_Area" localSheetId="1">'01_Plataformas'!$A$1:$H$36</definedName>
    <definedName name="_xlnm.Print_Area" localSheetId="2">'02_Carpetas_docs'!$A$1:$J$32</definedName>
    <definedName name="_xlnm.Print_Area" localSheetId="3">'03_UTMs'!$A$1:$K$33</definedName>
    <definedName name="_xlnm.Print_Area" localSheetId="4">'04_Catalogos'!$A$1:$J$33</definedName>
    <definedName name="_xlnm.Print_Titles" localSheetId="1">'01_Plataformas'!$1:$8</definedName>
    <definedName name="_xlnm.Print_Titles" localSheetId="3">'03_UTMs'!$1:$17</definedName>
  </definedNames>
  <calcPr calcId="191029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4" l="1"/>
  <c r="I24" i="4"/>
  <c r="I23" i="4"/>
  <c r="I22" i="4"/>
  <c r="I21" i="4"/>
  <c r="I20" i="4"/>
  <c r="I19" i="4"/>
  <c r="I18" i="4"/>
  <c r="H29" i="2"/>
  <c r="H28" i="2"/>
  <c r="H27" i="2"/>
  <c r="H26" i="2"/>
  <c r="H25" i="2"/>
  <c r="H21" i="2"/>
  <c r="H20" i="2"/>
  <c r="H19" i="2"/>
  <c r="H18" i="2"/>
  <c r="H17" i="2"/>
  <c r="H13" i="2"/>
  <c r="H12" i="2"/>
  <c r="H11" i="2"/>
  <c r="H10" i="2"/>
  <c r="H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Adcom</author>
  </authors>
  <commentList>
    <comment ref="C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El cliente es metadato. No se repite en el nombre porque la cuenta o ruta ya lo identifica.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Adcom</author>
  </authors>
  <commentList>
    <comment ref="I1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La f?rmula conserva par?metros previos de la landing usando &amp; cuando ya existe ?. Excel recalcula la URL al abrir el archivo.</t>
        </r>
      </text>
    </comment>
  </commentList>
</comments>
</file>

<file path=xl/sharedStrings.xml><?xml version="1.0" encoding="utf-8"?>
<sst xmlns="http://schemas.openxmlformats.org/spreadsheetml/2006/main" count="486" uniqueCount="334">
  <si>
    <t>GUÍA PARA CLIENTE · V1.0 · APUESTAS DEPORTIVAS</t>
  </si>
  <si>
    <t>Nomenclaturas y UTMs</t>
  </si>
  <si>
    <t>Ejemplo para “Casa apuestas”. Mantiene campañas, audiencias, anuncios, archivos y enlaces fáciles de leer, buscar y auditar.</t>
  </si>
  <si>
    <t>Cómo usar este archivo</t>
  </si>
  <si>
    <t>1</t>
  </si>
  <si>
    <t>Duplica una fila de ejemplo</t>
  </si>
  <si>
    <t>Conserva las fórmulas verdes y reemplaza únicamente las celdas amarillas.</t>
  </si>
  <si>
    <t>2</t>
  </si>
  <si>
    <t>Nombra en orden</t>
  </si>
  <si>
    <t>Campaña → grupo de anuncios → anuncio. El nombre identifica; el detalle operativo vive en los metadatos.</t>
  </si>
  <si>
    <t>3</t>
  </si>
  <si>
    <t>Construye la URL</t>
  </si>
  <si>
    <t>Completa los parámetros UTM en minúscula, sin tildes ni datos personales. La URL final se arma automáticamente.</t>
  </si>
  <si>
    <t>4</t>
  </si>
  <si>
    <t>Haz QA antes de activar</t>
  </si>
  <si>
    <t>Prueba la URL final, confirma que abre la landing correcta y registra responsable y estado.</t>
  </si>
  <si>
    <t>Capítulos</t>
  </si>
  <si>
    <t>01</t>
  </si>
  <si>
    <t>Nombres en plataforma</t>
  </si>
  <si>
    <t>Campañas, grupos, anuncios y públicos.</t>
  </si>
  <si>
    <t>Abrir →</t>
  </si>
  <si>
    <t>02</t>
  </si>
  <si>
    <t>Carpetas y documentos</t>
  </si>
  <si>
    <t>Estructuras, ejemplos y metadatos.</t>
  </si>
  <si>
    <t>03</t>
  </si>
  <si>
    <t>UTMs</t>
  </si>
  <si>
    <t>Diccionario, reglas, ejemplos y constructor de URL.</t>
  </si>
  <si>
    <t>04</t>
  </si>
  <si>
    <t>Catálogos</t>
  </si>
  <si>
    <t>Valores recomendados por canal y control de estados.</t>
  </si>
  <si>
    <t>Principios del estándar</t>
  </si>
  <si>
    <t>✓</t>
  </si>
  <si>
    <t>Separador principal: _ (guion bajo).</t>
  </si>
  <si>
    <t>El número de orden se usa solo en objetos de plataforma.</t>
  </si>
  <si>
    <t>No se agrega un código interno adicional.</t>
  </si>
  <si>
    <t>Cliente y categoría no se repiten cuando ya se heredan de la ruta.</t>
  </si>
  <si>
    <t>La versión cambia al renovar una pieza; el estado vive en metadatos.</t>
  </si>
  <si>
    <t>Fechas: AAAA-MM en carpetas, Mes AAAA o Q# AAAA en documentos y DD-MM en bitácoras diarias.</t>
  </si>
  <si>
    <t>En apuestas, la activación debe incluir validación legal, restricción +18 y mensajes de juego responsable según el mercado.</t>
  </si>
  <si>
    <t>CAPÍTULO 01</t>
  </si>
  <si>
    <t>Nomenclatura en plataforma</t>
  </si>
  <si>
    <t>El orden del flow solo aparece en objetos de plataforma. Las celdas amarillas son editables; las verdes contienen fórmulas.</t>
  </si>
  <si>
    <t>1. Campañas</t>
  </si>
  <si>
    <t>Orden</t>
  </si>
  <si>
    <t>Plataforma</t>
  </si>
  <si>
    <t>Cliente*</t>
  </si>
  <si>
    <t>Objetivo</t>
  </si>
  <si>
    <t>Iniciativa</t>
  </si>
  <si>
    <t>Mercado</t>
  </si>
  <si>
    <t>Periodo</t>
  </si>
  <si>
    <t>Nombre generado</t>
  </si>
  <si>
    <t>Meta Ads</t>
  </si>
  <si>
    <t>Casa apuestas</t>
  </si>
  <si>
    <t>Adquisición</t>
  </si>
  <si>
    <t>Bono de bienvenida</t>
  </si>
  <si>
    <t>CO</t>
  </si>
  <si>
    <t>Sep 2026</t>
  </si>
  <si>
    <t>Google Ads</t>
  </si>
  <si>
    <t>Conversión</t>
  </si>
  <si>
    <t>Apuestas deportivas</t>
  </si>
  <si>
    <t>Retención</t>
  </si>
  <si>
    <t>Recarga y vuelve a jugar</t>
  </si>
  <si>
    <t>Q4 2026</t>
  </si>
  <si>
    <t>TikTok Ads</t>
  </si>
  <si>
    <t>Consideración</t>
  </si>
  <si>
    <t>Pronósticos deportivos</t>
  </si>
  <si>
    <t>2. Grupos de anuncios / audiencias</t>
  </si>
  <si>
    <t>Campaña de referencia</t>
  </si>
  <si>
    <t>Tipo</t>
  </si>
  <si>
    <t>Segmento</t>
  </si>
  <si>
    <t>Condición</t>
  </si>
  <si>
    <t>Responsable</t>
  </si>
  <si>
    <t>01_ADQUISICIÓN_Bono de bienvenida_CO_Sep 2026</t>
  </si>
  <si>
    <t>Prospección</t>
  </si>
  <si>
    <t>Fútbol</t>
  </si>
  <si>
    <t>Amplia</t>
  </si>
  <si>
    <t>Equipo Paid Media</t>
  </si>
  <si>
    <t>02_CONVERSIÓN_Apuestas deportivas_CO_Sep 2026</t>
  </si>
  <si>
    <t>Palabras clave</t>
  </si>
  <si>
    <t>03_RETENCIÓN_Recarga y vuelve a jugar_CO_Q4 2026</t>
  </si>
  <si>
    <t>CRM</t>
  </si>
  <si>
    <t>Jugadores inactivos</t>
  </si>
  <si>
    <t>30 días</t>
  </si>
  <si>
    <t>04_CONSIDERACIÓN_Pronósticos deportivos_CO_Sep 2026</t>
  </si>
  <si>
    <t>Remarketing</t>
  </si>
  <si>
    <t>Video viewers</t>
  </si>
  <si>
    <t>3. Anuncios</t>
  </si>
  <si>
    <t>Grupo de referencia</t>
  </si>
  <si>
    <t>Formato</t>
  </si>
  <si>
    <t>Ángulo / mensaje</t>
  </si>
  <si>
    <t>CTA</t>
  </si>
  <si>
    <t>Versión</t>
  </si>
  <si>
    <t>01_PROSPECCIÓN_Fútbol_Amplia</t>
  </si>
  <si>
    <t>Video</t>
  </si>
  <si>
    <t>Regístrate</t>
  </si>
  <si>
    <t>V01</t>
  </si>
  <si>
    <t>02_PROSPECCIÓN_Apuestas deportivas_Palabras clave</t>
  </si>
  <si>
    <t>Responsive Search Ad</t>
  </si>
  <si>
    <t>Apuesta en vivo</t>
  </si>
  <si>
    <t>Juega ahora</t>
  </si>
  <si>
    <t>03_CRM_Jugadores inactivos_30 días</t>
  </si>
  <si>
    <t>Estático</t>
  </si>
  <si>
    <t>Bono de recarga</t>
  </si>
  <si>
    <t>Recarga</t>
  </si>
  <si>
    <t>04_REMARKETING_Video viewers_30 días</t>
  </si>
  <si>
    <t>Pronóstico del partido</t>
  </si>
  <si>
    <t>Apuesta ahora</t>
  </si>
  <si>
    <t>V02</t>
  </si>
  <si>
    <t>4. Públicos reutilizables</t>
  </si>
  <si>
    <t>Tipo de público</t>
  </si>
  <si>
    <t>Segmento / base</t>
  </si>
  <si>
    <t>Fuente / plataforma</t>
  </si>
  <si>
    <t>Condición / variable</t>
  </si>
  <si>
    <t>Porcentaje</t>
  </si>
  <si>
    <t>Nombre sugerido</t>
  </si>
  <si>
    <t>Uso</t>
  </si>
  <si>
    <t>Estado</t>
  </si>
  <si>
    <t>Deportes</t>
  </si>
  <si>
    <t>Advantage</t>
  </si>
  <si>
    <t>PROSPECCIÓN_Deportes_Advantage</t>
  </si>
  <si>
    <t>Activo</t>
  </si>
  <si>
    <t>Interacciones</t>
  </si>
  <si>
    <t>IG</t>
  </si>
  <si>
    <t>REMARKETING_IG Interacciones_30 días</t>
  </si>
  <si>
    <t>Recaptura</t>
  </si>
  <si>
    <t>CRM_Jugadores inactivos_CRM</t>
  </si>
  <si>
    <t>Reactivación</t>
  </si>
  <si>
    <t>En revisión</t>
  </si>
  <si>
    <t>Similar</t>
  </si>
  <si>
    <t>Depositantes</t>
  </si>
  <si>
    <t>Meta</t>
  </si>
  <si>
    <t>2%</t>
  </si>
  <si>
    <t>SIMILAR_Depositantes_2%</t>
  </si>
  <si>
    <t>Expansión</t>
  </si>
  <si>
    <t>Borrador</t>
  </si>
  <si>
    <t>CAPÍTULO 02</t>
  </si>
  <si>
    <t>Carpetas, documentos y metadatos</t>
  </si>
  <si>
    <t>El nombre sirve para encontrar. La información administrativa vive en columnas de metadatos y no se fuerza dentro del nombre.</t>
  </si>
  <si>
    <t>1. Estructuras y ejemplos</t>
  </si>
  <si>
    <t>Elemento</t>
  </si>
  <si>
    <t>Estructura</t>
  </si>
  <si>
    <t>Ejemplo compartible</t>
  </si>
  <si>
    <t>Regla de uso</t>
  </si>
  <si>
    <t>Carpeta cliente</t>
  </si>
  <si>
    <t>[CLIENTE]_[AGENCIA]_[ESTADO]</t>
  </si>
  <si>
    <t>CASAAPUESTAS_ADCOM_ACTIVO</t>
  </si>
  <si>
    <t>Una carpeta raíz por cliente.</t>
  </si>
  <si>
    <t>Carpeta de repositorio</t>
  </si>
  <si>
    <t>[NN] [Nombre]</t>
  </si>
  <si>
    <t>04 Estrategia digital</t>
  </si>
  <si>
    <t>Conservar el orden 00—99.</t>
  </si>
  <si>
    <t>Categoría o división</t>
  </si>
  <si>
    <t>[Categoría]</t>
  </si>
  <si>
    <t>No repetir el cliente si la ruta lo hereda.</t>
  </si>
  <si>
    <t>[CLIENTE]_[AAAA-MM]</t>
  </si>
  <si>
    <t>CASAAPUESTAS_2026-09</t>
  </si>
  <si>
    <t>Usar AAAA-MM.</t>
  </si>
  <si>
    <t>Documento estratégico</t>
  </si>
  <si>
    <t>[CLIENTE]_[TIPO]_[Tema y periodo]_[Fecha]_[Versión]</t>
  </si>
  <si>
    <t>CASAAPUESTAS_ESTRATEGIA_Adquisición de jugadores Q4 2026_10-09-26_V01</t>
  </si>
  <si>
    <t>Usar Mes AAAA o Q# AAAA.</t>
  </si>
  <si>
    <t>Flow</t>
  </si>
  <si>
    <t>[CLIENTE]_FLOW_[Nota y periodo]_[Fecha]_[Versión]</t>
  </si>
  <si>
    <t>CASAAPUESTAS_FLOW_Sportsbook Sep 2026_10-09-26_V01</t>
  </si>
  <si>
    <t>Incluir una nota solo si diferencia el escenario.</t>
  </si>
  <si>
    <t>Ruta estratégica</t>
  </si>
  <si>
    <t>[CLIENTE]_RUTA_[Nota y periodo]_[Fecha]_[Versión]</t>
  </si>
  <si>
    <t>CASAAPUESTAS_RUTA_Bono de bienvenida Sep 2026_10-09-26_V01</t>
  </si>
  <si>
    <t>Agrupa campañas con intención común.</t>
  </si>
  <si>
    <t>Bitácora</t>
  </si>
  <si>
    <t>[CLIENTE]_BITÁCORA_[Periodo]_[Fecha]_[Versión]</t>
  </si>
  <si>
    <t>CASAAPUESTAS_BITÁCORA_Septiembre 2026_04-09-26_V01</t>
  </si>
  <si>
    <t>Usar DD-MM para seguimiento diario.</t>
  </si>
  <si>
    <t>Informe</t>
  </si>
  <si>
    <t>[CLIENTE]_INFORME_[Tema]_[Fecha]_[Versión]</t>
  </si>
  <si>
    <t>CASAAPUESTAS_INFORME_Rendimiento sportsbook_04-09-26_V01</t>
  </si>
  <si>
    <t>El tema debe poder entenderse sin abrirlo.</t>
  </si>
  <si>
    <t>Implementación</t>
  </si>
  <si>
    <t>[CLIENTE]_IMPLEMENTACIÓN_[Periodo]_[Fecha]_[Versión]</t>
  </si>
  <si>
    <t>CASAAPUESTAS_IMPLEMENTACIÓN_2026-09_10-09-26_V01</t>
  </si>
  <si>
    <t>2. Metadatos de documentos</t>
  </si>
  <si>
    <t>Nombre del documento</t>
  </si>
  <si>
    <t>Cliente</t>
  </si>
  <si>
    <t>Tema</t>
  </si>
  <si>
    <t>Visibilidad</t>
  </si>
  <si>
    <t>Creación</t>
  </si>
  <si>
    <t>Próxima revisión</t>
  </si>
  <si>
    <t>Estrategia</t>
  </si>
  <si>
    <t>Adquisición de jugadores</t>
  </si>
  <si>
    <t>Ana Pérez</t>
  </si>
  <si>
    <t>Aprobado</t>
  </si>
  <si>
    <t>2026-07-01</t>
  </si>
  <si>
    <t>2026-10-01</t>
  </si>
  <si>
    <t>Rendimiento sportsbook</t>
  </si>
  <si>
    <t>04-09</t>
  </si>
  <si>
    <t>Carlos Gómez</t>
  </si>
  <si>
    <t>2026-09-04</t>
  </si>
  <si>
    <t>2026-09-11</t>
  </si>
  <si>
    <t>2026-09</t>
  </si>
  <si>
    <t>Laura Ruiz</t>
  </si>
  <si>
    <t>Interna</t>
  </si>
  <si>
    <t>2026-09-01</t>
  </si>
  <si>
    <t>2026-09-15</t>
  </si>
  <si>
    <t>3. Reglas de conversión</t>
  </si>
  <si>
    <t>Usar _ como separador principal; reemplazar pipes y puntos medios heredados.</t>
  </si>
  <si>
    <t>No incluir el número de orden en carpetas ni documentos.</t>
  </si>
  <si>
    <t>Mantener versión y estado en metadatos, salvo la versión del anuncio que sí identifica la pieza.</t>
  </si>
  <si>
    <t>No repetir cliente y categoría en cada nivel si ya los hereda la ruta.</t>
  </si>
  <si>
    <t>No crear un código interno adicional: la nomenclatura ya permite identificación y búsqueda.</t>
  </si>
  <si>
    <t>CAPÍTULO 03</t>
  </si>
  <si>
    <t>UTMs: estándar y constructor</t>
  </si>
  <si>
    <t>Los UTMs describen el origen del tráfico. Deben ser estables, legibles por personas y consistentes con la nomenclatura de campaña y anuncio.</t>
  </si>
  <si>
    <t>1. Diccionario mínimo</t>
  </si>
  <si>
    <t>Parámetro</t>
  </si>
  <si>
    <t>Obligatorio</t>
  </si>
  <si>
    <t>Qué identifica</t>
  </si>
  <si>
    <t>Ejemplo</t>
  </si>
  <si>
    <t>Regla</t>
  </si>
  <si>
    <t>Fuente sugerida</t>
  </si>
  <si>
    <t>utm_source</t>
  </si>
  <si>
    <t>Sí</t>
  </si>
  <si>
    <t>Plataforma o fuente</t>
  </si>
  <si>
    <t>instagram</t>
  </si>
  <si>
    <t>Minúscula y valor estable</t>
  </si>
  <si>
    <t>Catálogo por canal</t>
  </si>
  <si>
    <t>utm_medium</t>
  </si>
  <si>
    <t>Tipo de tráfico</t>
  </si>
  <si>
    <t>paid_social</t>
  </si>
  <si>
    <t>No usar nombres de campaña</t>
  </si>
  <si>
    <t>utm_campaign</t>
  </si>
  <si>
    <t>Iniciativa/campaña</t>
  </si>
  <si>
    <t>conversion-posgrados-co-2026-08</t>
  </si>
  <si>
    <t>Alineado con campaña; sin tildes</t>
  </si>
  <si>
    <t>Nomenclatura</t>
  </si>
  <si>
    <t>utm_content</t>
  </si>
  <si>
    <t>Recomendado</t>
  </si>
  <si>
    <t>Pieza o variante</t>
  </si>
  <si>
    <t>video-5-razones-inscribete-v01</t>
  </si>
  <si>
    <t>Alineado con anuncio</t>
  </si>
  <si>
    <t>utm_term</t>
  </si>
  <si>
    <t>Opcional</t>
  </si>
  <si>
    <t>Palabra clave o audiencia</t>
  </si>
  <si>
    <t>administracion-empresas</t>
  </si>
  <si>
    <t>No incluir datos personales</t>
  </si>
  <si>
    <t>Keyword / audiencia</t>
  </si>
  <si>
    <t>utm_id</t>
  </si>
  <si>
    <t>ID estable de campaña/flow</t>
  </si>
  <si>
    <t>No reemplaza utm_campaign</t>
  </si>
  <si>
    <t>Plataforma / flow</t>
  </si>
  <si>
    <t>2. Constructor de URLs</t>
  </si>
  <si>
    <t>Canal</t>
  </si>
  <si>
    <t>Landing base</t>
  </si>
  <si>
    <t>URL final generada</t>
  </si>
  <si>
    <t>QA</t>
  </si>
  <si>
    <t>https://casa-apuestas.example/bono-bienvenida</t>
  </si>
  <si>
    <t>adquisicion-bono-bienvenida-co-2026-09</t>
  </si>
  <si>
    <t>video-bono-bienvenida-registrate-v01</t>
  </si>
  <si>
    <t>prospeccion-futbol</t>
  </si>
  <si>
    <t>Pendiente</t>
  </si>
  <si>
    <t>https://casa-apuestas.example/apuestas-deportivas</t>
  </si>
  <si>
    <t>google</t>
  </si>
  <si>
    <t>cpc</t>
  </si>
  <si>
    <t>conversion-apuestas-deportivas-co-2026-09</t>
  </si>
  <si>
    <t>rsa-apuesta-en-vivo-juega-ahora-v01</t>
  </si>
  <si>
    <t>apuestas-futbol</t>
  </si>
  <si>
    <t>https://casa-apuestas.example/recarga</t>
  </si>
  <si>
    <t>facebook</t>
  </si>
  <si>
    <t>retencion-recarga-co-q4-2026</t>
  </si>
  <si>
    <t>estatico-bono-recarga-v01</t>
  </si>
  <si>
    <t>jugadores-inactivos-30d</t>
  </si>
  <si>
    <t>https://casa-apuestas.example/pronosticos</t>
  </si>
  <si>
    <t>tiktok</t>
  </si>
  <si>
    <t>consideracion-pronosticos-deportivos-co-2026-09</t>
  </si>
  <si>
    <t>video-pronostico-partido-apuesta-ahora-v02</t>
  </si>
  <si>
    <t>remarketing-video-viewers</t>
  </si>
  <si>
    <t>3. Reglas de QA</t>
  </si>
  <si>
    <t>Escribir valores en minúscula, sin tildes, sin espacios y con guion medio: posgrados-virtuales.</t>
  </si>
  <si>
    <t>No usar información personal: nombres, correos, teléfonos, documentos ni datos sensibles.</t>
  </si>
  <si>
    <t>Mantener utm_source y utm_medium estables; no alternar facebook / fb / meta para el mismo origen.</t>
  </si>
  <si>
    <t>Alinear utm_campaign con la campaña y utm_content con el anuncio para poder cruzar datos.</t>
  </si>
  <si>
    <t>Usar utm_term para palabra clave o audiencia solo cuando aporte análisis; puede quedar vacío.</t>
  </si>
  <si>
    <t>Abrir y probar la URL final antes de publicar; confirmar landing, restricción +18, juego responsable, redirecciones y captura en analítica.</t>
  </si>
  <si>
    <t>CAPÍTULO 04</t>
  </si>
  <si>
    <t>Catálogos recomendados</t>
  </si>
  <si>
    <t>Catálogo base adaptado a una casa de apuestas deportivas. Los valores deben acordarse una vez y mantenerse estables durante la campaña.</t>
  </si>
  <si>
    <t>1. Fuente y medio por canal</t>
  </si>
  <si>
    <t>utm_source recomendado</t>
  </si>
  <si>
    <t>utm_medium recomendado</t>
  </si>
  <si>
    <t>Nota</t>
  </si>
  <si>
    <t>Meta · Facebook</t>
  </si>
  <si>
    <t>Separar facebook e instagram si el análisis lo requiere.</t>
  </si>
  <si>
    <t>Meta · Instagram</t>
  </si>
  <si>
    <t>Mantener el mismo criterio en toda la cuenta.</t>
  </si>
  <si>
    <t>Google Search</t>
  </si>
  <si>
    <t>Usar utm_term para palabra clave cuando aplique.</t>
  </si>
  <si>
    <t>Google Display</t>
  </si>
  <si>
    <t>display</t>
  </si>
  <si>
    <t>utm_content identifica pieza/variante.</t>
  </si>
  <si>
    <t>YouTube</t>
  </si>
  <si>
    <t>youtube</t>
  </si>
  <si>
    <t>video</t>
  </si>
  <si>
    <t>No mezclar con display si se reportan por separado.</t>
  </si>
  <si>
    <t>LinkedIn</t>
  </si>
  <si>
    <t>linkedin</t>
  </si>
  <si>
    <t>utm_term puede representar audiencia B2B.</t>
  </si>
  <si>
    <t>TikTok</t>
  </si>
  <si>
    <t>utm_content identifica creativo y versión.</t>
  </si>
  <si>
    <t>Email</t>
  </si>
  <si>
    <t>newsletter</t>
  </si>
  <si>
    <t>email</t>
  </si>
  <si>
    <t>La fuente puede ser el nombre estable del boletín.</t>
  </si>
  <si>
    <t>2. Valores controlados</t>
  </si>
  <si>
    <t>Objetivos</t>
  </si>
  <si>
    <t>Tipos de audiencia</t>
  </si>
  <si>
    <t>Formatos</t>
  </si>
  <si>
    <t>Estados</t>
  </si>
  <si>
    <t>QA UTM</t>
  </si>
  <si>
    <t>Validada</t>
  </si>
  <si>
    <t>Reconocimiento</t>
  </si>
  <si>
    <t>Carrusel</t>
  </si>
  <si>
    <t>Pública</t>
  </si>
  <si>
    <t>Error</t>
  </si>
  <si>
    <t>Colección</t>
  </si>
  <si>
    <t>Restringida</t>
  </si>
  <si>
    <t>Cerrado</t>
  </si>
  <si>
    <t>Cuotas dinámicas</t>
  </si>
  <si>
    <t>Reemplazado</t>
  </si>
  <si>
    <t>Archivado</t>
  </si>
  <si>
    <t>3. Gobernanza del catálogo</t>
  </si>
  <si>
    <t>•</t>
  </si>
  <si>
    <t>Nombrar a una persona responsable de aprobar nuevos valores.</t>
  </si>
  <si>
    <t>Evitar sinónimos y abreviaturas duplicadas: usar un solo valor por concepto.</t>
  </si>
  <si>
    <t>Documentar cualquier cambio y su fecha de entrada en vigor.</t>
  </si>
  <si>
    <t>No cambiar UTMs de campañas activas sin evaluar el impacto en series históricas.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</si>
</sst>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D400"/>
      <name val="Poppins"/>
    </font>
    <font>
      <sz val="11"/>
      <color rgb="FFA8A8A8"/>
      <name val="Poppins"/>
    </font>
    <font>
      <b/>
      <sz val="14"/>
      <color rgb="FF050505"/>
      <name val="Poppins"/>
    </font>
    <font>
      <b/>
      <sz val="16"/>
      <color rgb="FFFFD400"/>
      <name val="Poppins"/>
    </font>
    <font>
      <b/>
      <sz val="11"/>
      <color rgb="FF050505"/>
      <name val="Poppins"/>
    </font>
    <font>
      <b/>
      <sz val="25"/>
      <color rgb="FFFFFFFF"/>
      <name val="Poppins"/>
    </font>
    <font>
      <sz val="9"/>
      <color rgb="FF050505"/>
      <name val="Poppins"/>
    </font>
    <font>
      <b/>
      <sz val="9"/>
      <color rgb="FF050505"/>
      <name val="Poppins"/>
    </font>
    <font>
      <b/>
      <sz val="9"/>
      <color rgb="FFFFD400"/>
      <name val="Poppins"/>
    </font>
    <font>
      <sz val="11"/>
      <color theme="1"/>
      <name val="Poppins"/>
    </font>
    <font>
      <sz val="12"/>
      <color theme="1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50505"/>
      </patternFill>
    </fill>
    <fill>
      <patternFill patternType="solid">
        <fgColor rgb="FFFFD400"/>
      </patternFill>
    </fill>
    <fill>
      <patternFill patternType="solid">
        <fgColor rgb="FFF4F4F1"/>
      </patternFill>
    </fill>
    <fill>
      <patternFill patternType="solid">
        <fgColor rgb="FF151515"/>
      </patternFill>
    </fill>
    <fill>
      <patternFill patternType="solid">
        <fgColor rgb="FFFFE86A"/>
      </patternFill>
    </fill>
    <fill>
      <patternFill patternType="solid">
        <fgColor rgb="FF55C98A"/>
      </patternFill>
    </fill>
  </fills>
  <borders count="5">
    <border>
      <left/>
      <right/>
      <top/>
      <bottom/>
      <diagonal/>
    </border>
    <border>
      <left/>
      <right/>
      <top/>
      <bottom style="thin">
        <color rgb="FFD2D2D0"/>
      </bottom>
      <diagonal/>
    </border>
    <border>
      <left style="thin">
        <color rgb="FFD2D2D0"/>
      </left>
      <right style="thin">
        <color rgb="FFD2D2D0"/>
      </right>
      <top style="thin">
        <color rgb="FFD2D2D0"/>
      </top>
      <bottom style="thin">
        <color rgb="FFD2D2D0"/>
      </bottom>
      <diagonal/>
    </border>
    <border>
      <left/>
      <right style="thin">
        <color rgb="FFD2D2D0"/>
      </right>
      <top style="thin">
        <color rgb="FFD2D2D0"/>
      </top>
      <bottom style="thin">
        <color rgb="FFD2D2D0"/>
      </bottom>
      <diagonal/>
    </border>
    <border>
      <left/>
      <right/>
      <top style="thin">
        <color rgb="FFD2D2D0"/>
      </top>
      <bottom style="thin">
        <color rgb="FFD2D2D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5" fillId="5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0" borderId="0" xfId="0" applyFont="1"/>
    <xf numFmtId="0" fontId="10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164" fontId="8" fillId="7" borderId="2" xfId="0" applyNumberFormat="1" applyFont="1" applyFill="1" applyBorder="1" applyAlignment="1">
      <alignment vertical="top" wrapText="1"/>
    </xf>
    <xf numFmtId="0" fontId="2" fillId="0" borderId="0" xfId="0" applyFont="1"/>
    <xf numFmtId="0" fontId="11" fillId="0" borderId="0" xfId="0" applyFont="1"/>
    <xf numFmtId="0" fontId="11" fillId="4" borderId="0" xfId="0" applyFont="1" applyFill="1"/>
    <xf numFmtId="0" fontId="12" fillId="2" borderId="2" xfId="1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0" borderId="4" xfId="0" applyFont="1" applyBorder="1"/>
    <xf numFmtId="0" fontId="11" fillId="0" borderId="3" xfId="0" applyFont="1" applyBorder="1"/>
    <xf numFmtId="0" fontId="6" fillId="5" borderId="1" xfId="0" applyFont="1" applyFill="1" applyBorder="1" applyAlignment="1">
      <alignment vertical="center" wrapText="1"/>
    </xf>
    <xf numFmtId="0" fontId="11" fillId="0" borderId="1" xfId="0" applyFont="1" applyBorder="1"/>
    <xf numFmtId="0" fontId="7" fillId="3" borderId="0" xfId="0" applyFont="1" applyFill="1" applyAlignment="1">
      <alignment vertical="center"/>
    </xf>
    <xf numFmtId="0" fontId="11" fillId="3" borderId="0" xfId="0" applyFont="1" applyFill="1"/>
    <xf numFmtId="0" fontId="2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1" fillId="4" borderId="0" xfId="0" applyFont="1" applyFill="1"/>
    <xf numFmtId="0" fontId="11" fillId="5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3" fillId="3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2">
    <dxf>
      <font>
        <b/>
        <color rgb="FF050505"/>
        <name val="Poppins"/>
      </font>
      <fill>
        <patternFill patternType="solid">
          <fgColor rgb="FFFF4D4D"/>
        </patternFill>
      </fill>
    </dxf>
    <dxf>
      <font>
        <b/>
        <color rgb="FF050505"/>
        <name val="Poppins"/>
      </font>
      <fill>
        <patternFill patternType="solid">
          <fgColor rgb="FF55C98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400"/>
    <pageSetUpPr fitToPage="1"/>
  </sheetPr>
  <dimension ref="A1:J28"/>
  <sheetViews>
    <sheetView showGridLines="0" tabSelected="1" zoomScale="90" workbookViewId="0">
      <pane ySplit="6" topLeftCell="A10" activePane="bottomLeft" state="frozen"/>
      <selection pane="bottomLeft" sqref="A1:J1"/>
    </sheetView>
  </sheetViews>
  <sheetFormatPr baseColWidth="10" defaultColWidth="9.140625" defaultRowHeight="15" x14ac:dyDescent="0.25"/>
  <cols>
    <col min="1" max="1" width="4" customWidth="1"/>
    <col min="2" max="10" width="15" customWidth="1"/>
  </cols>
  <sheetData>
    <row r="1" spans="1:10" ht="24" customHeight="1" x14ac:dyDescent="0.6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23.1" customHeight="1" x14ac:dyDescent="0.25">
      <c r="A4" s="27" t="s">
        <v>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8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21.75" x14ac:dyDescent="0.6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24.95" customHeight="1" x14ac:dyDescent="0.6">
      <c r="A7" s="21" t="s">
        <v>3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45" customHeight="1" x14ac:dyDescent="0.6">
      <c r="A8" s="10"/>
      <c r="B8" s="1" t="s">
        <v>4</v>
      </c>
      <c r="C8" s="16" t="s">
        <v>5</v>
      </c>
      <c r="D8" s="17"/>
      <c r="E8" s="23" t="s">
        <v>6</v>
      </c>
      <c r="F8" s="17"/>
      <c r="G8" s="17"/>
      <c r="H8" s="17"/>
      <c r="I8" s="17"/>
      <c r="J8" s="17"/>
    </row>
    <row r="9" spans="1:10" ht="45" customHeight="1" x14ac:dyDescent="0.6">
      <c r="A9" s="10"/>
      <c r="B9" s="1" t="s">
        <v>7</v>
      </c>
      <c r="C9" s="16" t="s">
        <v>8</v>
      </c>
      <c r="D9" s="17"/>
      <c r="E9" s="23" t="s">
        <v>9</v>
      </c>
      <c r="F9" s="17"/>
      <c r="G9" s="17"/>
      <c r="H9" s="17"/>
      <c r="I9" s="17"/>
      <c r="J9" s="17"/>
    </row>
    <row r="10" spans="1:10" ht="45" customHeight="1" x14ac:dyDescent="0.6">
      <c r="A10" s="10"/>
      <c r="B10" s="1" t="s">
        <v>10</v>
      </c>
      <c r="C10" s="16" t="s">
        <v>11</v>
      </c>
      <c r="D10" s="17"/>
      <c r="E10" s="23" t="s">
        <v>12</v>
      </c>
      <c r="F10" s="17"/>
      <c r="G10" s="17"/>
      <c r="H10" s="17"/>
      <c r="I10" s="17"/>
      <c r="J10" s="17"/>
    </row>
    <row r="11" spans="1:10" ht="45" customHeight="1" x14ac:dyDescent="0.6">
      <c r="A11" s="10"/>
      <c r="B11" s="1" t="s">
        <v>13</v>
      </c>
      <c r="C11" s="16" t="s">
        <v>14</v>
      </c>
      <c r="D11" s="17"/>
      <c r="E11" s="23" t="s">
        <v>15</v>
      </c>
      <c r="F11" s="17"/>
      <c r="G11" s="17"/>
      <c r="H11" s="17"/>
      <c r="I11" s="17"/>
      <c r="J11" s="17"/>
    </row>
    <row r="12" spans="1:10" ht="21.75" x14ac:dyDescent="0.6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21.75" x14ac:dyDescent="0.6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24.95" customHeight="1" x14ac:dyDescent="0.6">
      <c r="A14" s="21" t="s">
        <v>16</v>
      </c>
      <c r="B14" s="22"/>
      <c r="C14" s="22"/>
      <c r="D14" s="22"/>
      <c r="E14" s="22"/>
      <c r="F14" s="22"/>
      <c r="G14" s="22"/>
      <c r="H14" s="22"/>
      <c r="I14" s="22"/>
      <c r="J14" s="22"/>
    </row>
    <row r="15" spans="1:10" ht="36" customHeight="1" x14ac:dyDescent="0.6">
      <c r="A15" s="10"/>
      <c r="B15" s="2" t="s">
        <v>17</v>
      </c>
      <c r="C15" s="24" t="s">
        <v>18</v>
      </c>
      <c r="D15" s="15"/>
      <c r="E15" s="13" t="s">
        <v>19</v>
      </c>
      <c r="F15" s="14"/>
      <c r="G15" s="14"/>
      <c r="H15" s="14"/>
      <c r="I15" s="15"/>
      <c r="J15" s="12" t="s">
        <v>20</v>
      </c>
    </row>
    <row r="16" spans="1:10" ht="36" customHeight="1" x14ac:dyDescent="0.6">
      <c r="A16" s="10"/>
      <c r="B16" s="2" t="s">
        <v>21</v>
      </c>
      <c r="C16" s="24" t="s">
        <v>22</v>
      </c>
      <c r="D16" s="15"/>
      <c r="E16" s="13" t="s">
        <v>23</v>
      </c>
      <c r="F16" s="14"/>
      <c r="G16" s="14"/>
      <c r="H16" s="14"/>
      <c r="I16" s="15"/>
      <c r="J16" s="12" t="s">
        <v>20</v>
      </c>
    </row>
    <row r="17" spans="1:10" ht="36" customHeight="1" x14ac:dyDescent="0.6">
      <c r="A17" s="10"/>
      <c r="B17" s="2" t="s">
        <v>24</v>
      </c>
      <c r="C17" s="24" t="s">
        <v>25</v>
      </c>
      <c r="D17" s="15"/>
      <c r="E17" s="13" t="s">
        <v>26</v>
      </c>
      <c r="F17" s="14"/>
      <c r="G17" s="14"/>
      <c r="H17" s="14"/>
      <c r="I17" s="15"/>
      <c r="J17" s="12" t="s">
        <v>20</v>
      </c>
    </row>
    <row r="18" spans="1:10" ht="36" customHeight="1" x14ac:dyDescent="0.6">
      <c r="A18" s="10"/>
      <c r="B18" s="2" t="s">
        <v>27</v>
      </c>
      <c r="C18" s="24" t="s">
        <v>28</v>
      </c>
      <c r="D18" s="15"/>
      <c r="E18" s="13" t="s">
        <v>29</v>
      </c>
      <c r="F18" s="14"/>
      <c r="G18" s="14"/>
      <c r="H18" s="14"/>
      <c r="I18" s="15"/>
      <c r="J18" s="12" t="s">
        <v>20</v>
      </c>
    </row>
    <row r="19" spans="1:10" ht="21.75" x14ac:dyDescent="0.6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21.75" x14ac:dyDescent="0.6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24.95" customHeight="1" x14ac:dyDescent="0.6">
      <c r="A21" s="21" t="s">
        <v>30</v>
      </c>
      <c r="B21" s="22"/>
      <c r="C21" s="22"/>
      <c r="D21" s="22"/>
      <c r="E21" s="22"/>
      <c r="F21" s="22"/>
      <c r="G21" s="22"/>
      <c r="H21" s="22"/>
      <c r="I21" s="22"/>
      <c r="J21" s="22"/>
    </row>
    <row r="22" spans="1:10" ht="21.75" x14ac:dyDescent="0.6">
      <c r="A22" s="10"/>
      <c r="B22" s="3" t="s">
        <v>31</v>
      </c>
      <c r="C22" s="25" t="s">
        <v>32</v>
      </c>
      <c r="D22" s="26"/>
      <c r="E22" s="26"/>
      <c r="F22" s="26"/>
      <c r="G22" s="26"/>
      <c r="H22" s="26"/>
      <c r="I22" s="26"/>
      <c r="J22" s="26"/>
    </row>
    <row r="23" spans="1:10" ht="21.75" x14ac:dyDescent="0.6">
      <c r="A23" s="10"/>
      <c r="B23" s="3" t="s">
        <v>31</v>
      </c>
      <c r="C23" s="25" t="s">
        <v>33</v>
      </c>
      <c r="D23" s="26"/>
      <c r="E23" s="26"/>
      <c r="F23" s="26"/>
      <c r="G23" s="26"/>
      <c r="H23" s="26"/>
      <c r="I23" s="26"/>
      <c r="J23" s="26"/>
    </row>
    <row r="24" spans="1:10" ht="21.75" x14ac:dyDescent="0.6">
      <c r="A24" s="10"/>
      <c r="B24" s="3" t="s">
        <v>31</v>
      </c>
      <c r="C24" s="25" t="s">
        <v>34</v>
      </c>
      <c r="D24" s="26"/>
      <c r="E24" s="26"/>
      <c r="F24" s="26"/>
      <c r="G24" s="26"/>
      <c r="H24" s="26"/>
      <c r="I24" s="26"/>
      <c r="J24" s="26"/>
    </row>
    <row r="25" spans="1:10" ht="21.75" x14ac:dyDescent="0.6">
      <c r="A25" s="10"/>
      <c r="B25" s="3" t="s">
        <v>31</v>
      </c>
      <c r="C25" s="25" t="s">
        <v>35</v>
      </c>
      <c r="D25" s="26"/>
      <c r="E25" s="26"/>
      <c r="F25" s="26"/>
      <c r="G25" s="26"/>
      <c r="H25" s="26"/>
      <c r="I25" s="26"/>
      <c r="J25" s="26"/>
    </row>
    <row r="26" spans="1:10" ht="21.75" x14ac:dyDescent="0.6">
      <c r="A26" s="10"/>
      <c r="B26" s="3" t="s">
        <v>31</v>
      </c>
      <c r="C26" s="25" t="s">
        <v>36</v>
      </c>
      <c r="D26" s="26"/>
      <c r="E26" s="26"/>
      <c r="F26" s="26"/>
      <c r="G26" s="26"/>
      <c r="H26" s="26"/>
      <c r="I26" s="26"/>
      <c r="J26" s="26"/>
    </row>
    <row r="27" spans="1:10" ht="21.75" x14ac:dyDescent="0.6">
      <c r="A27" s="10"/>
      <c r="B27" s="3" t="s">
        <v>31</v>
      </c>
      <c r="C27" s="25" t="s">
        <v>37</v>
      </c>
      <c r="D27" s="26"/>
      <c r="E27" s="26"/>
      <c r="F27" s="26"/>
      <c r="G27" s="26"/>
      <c r="H27" s="26"/>
      <c r="I27" s="26"/>
      <c r="J27" s="26"/>
    </row>
    <row r="28" spans="1:10" ht="30" customHeight="1" x14ac:dyDescent="0.6">
      <c r="A28" s="10"/>
      <c r="B28" s="3" t="s">
        <v>31</v>
      </c>
      <c r="C28" s="25" t="s">
        <v>38</v>
      </c>
      <c r="D28" s="26"/>
      <c r="E28" s="26"/>
      <c r="F28" s="26"/>
      <c r="G28" s="26"/>
      <c r="H28" s="26"/>
      <c r="I28" s="26"/>
      <c r="J28" s="26"/>
    </row>
  </sheetData>
  <mergeCells count="29">
    <mergeCell ref="C28:J28"/>
    <mergeCell ref="C18:D18"/>
    <mergeCell ref="E18:I18"/>
    <mergeCell ref="C27:J27"/>
    <mergeCell ref="A4:J5"/>
    <mergeCell ref="C17:D17"/>
    <mergeCell ref="C23:J23"/>
    <mergeCell ref="C8:D8"/>
    <mergeCell ref="E16:I16"/>
    <mergeCell ref="A21:J21"/>
    <mergeCell ref="E8:J8"/>
    <mergeCell ref="C26:J26"/>
    <mergeCell ref="C16:D16"/>
    <mergeCell ref="C25:J25"/>
    <mergeCell ref="C22:J22"/>
    <mergeCell ref="C24:J24"/>
    <mergeCell ref="E17:I17"/>
    <mergeCell ref="C9:D9"/>
    <mergeCell ref="A2:J3"/>
    <mergeCell ref="A1:J1"/>
    <mergeCell ref="E15:I15"/>
    <mergeCell ref="C11:D11"/>
    <mergeCell ref="A7:J7"/>
    <mergeCell ref="E11:J11"/>
    <mergeCell ref="C10:D10"/>
    <mergeCell ref="A14:J14"/>
    <mergeCell ref="E10:J10"/>
    <mergeCell ref="C15:D15"/>
    <mergeCell ref="E9:J9"/>
  </mergeCells>
  <hyperlinks>
    <hyperlink ref="J15" location="'01_Plataformas'!A1" display="Abrir →" xr:uid="{00000000-0004-0000-0000-000000000000}"/>
    <hyperlink ref="J16" location="'02_Carpetas_docs'!A1" display="Abrir →" xr:uid="{00000000-0004-0000-0000-000001000000}"/>
    <hyperlink ref="J17" location="'03_UTMs'!A1" display="Abrir →" xr:uid="{00000000-0004-0000-0000-000002000000}"/>
    <hyperlink ref="J18" location="'04_Catalogos'!A1" display="Abrir →" xr:uid="{00000000-0004-0000-0000-000003000000}"/>
  </hyperlinks>
  <pageMargins left="0.25" right="0.25" top="0.45" bottom="0.45" header="0.5" footer="0.5"/>
  <headerFooter>
    <oddHeader>&amp;C&amp;BFRAMEWORK DIGITAL · Nomenclaturas y UTMs</oddHeader>
    <oddFooter>&amp;LPlantilla de ejemplo&amp;RP?gina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0505"/>
    <pageSetUpPr fitToPage="1"/>
  </sheetPr>
  <dimension ref="A1:H36"/>
  <sheetViews>
    <sheetView showGridLines="0" zoomScale="9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14" customWidth="1"/>
    <col min="3" max="4" width="18" customWidth="1"/>
    <col min="5" max="5" width="25" customWidth="1"/>
    <col min="6" max="6" width="10" customWidth="1"/>
    <col min="7" max="7" width="18" customWidth="1"/>
    <col min="8" max="8" width="52" customWidth="1"/>
  </cols>
  <sheetData>
    <row r="1" spans="1:8" ht="24" customHeight="1" x14ac:dyDescent="0.6">
      <c r="A1" s="20" t="s">
        <v>39</v>
      </c>
      <c r="B1" s="19"/>
      <c r="C1" s="19"/>
      <c r="D1" s="19"/>
      <c r="E1" s="19"/>
      <c r="F1" s="19"/>
      <c r="G1" s="19"/>
      <c r="H1" s="19"/>
    </row>
    <row r="2" spans="1:8" x14ac:dyDescent="0.25">
      <c r="A2" s="18" t="s">
        <v>40</v>
      </c>
      <c r="B2" s="19"/>
      <c r="C2" s="19"/>
      <c r="D2" s="19"/>
      <c r="E2" s="19"/>
      <c r="F2" s="19"/>
      <c r="G2" s="19"/>
      <c r="H2" s="19"/>
    </row>
    <row r="3" spans="1:8" x14ac:dyDescent="0.25">
      <c r="A3" s="19"/>
      <c r="B3" s="19"/>
      <c r="C3" s="19"/>
      <c r="D3" s="19"/>
      <c r="E3" s="19"/>
      <c r="F3" s="19"/>
      <c r="G3" s="19"/>
      <c r="H3" s="19"/>
    </row>
    <row r="4" spans="1:8" ht="23.1" customHeight="1" x14ac:dyDescent="0.25">
      <c r="A4" s="27" t="s">
        <v>41</v>
      </c>
      <c r="B4" s="19"/>
      <c r="C4" s="19"/>
      <c r="D4" s="19"/>
      <c r="E4" s="19"/>
      <c r="F4" s="19"/>
      <c r="G4" s="19"/>
      <c r="H4" s="19"/>
    </row>
    <row r="5" spans="1:8" ht="18" customHeight="1" x14ac:dyDescent="0.25">
      <c r="A5" s="19"/>
      <c r="B5" s="19"/>
      <c r="C5" s="19"/>
      <c r="D5" s="19"/>
      <c r="E5" s="19"/>
      <c r="F5" s="19"/>
      <c r="G5" s="19"/>
      <c r="H5" s="19"/>
    </row>
    <row r="6" spans="1:8" ht="21.75" x14ac:dyDescent="0.6">
      <c r="A6" s="10"/>
      <c r="B6" s="10"/>
      <c r="C6" s="10"/>
      <c r="D6" s="10"/>
      <c r="E6" s="10"/>
      <c r="F6" s="10"/>
      <c r="G6" s="10"/>
      <c r="H6" s="10"/>
    </row>
    <row r="7" spans="1:8" ht="24.95" customHeight="1" x14ac:dyDescent="0.6">
      <c r="A7" s="21" t="s">
        <v>42</v>
      </c>
      <c r="B7" s="22"/>
      <c r="C7" s="22"/>
      <c r="D7" s="22"/>
      <c r="E7" s="22"/>
      <c r="F7" s="22"/>
      <c r="G7" s="22"/>
      <c r="H7" s="22"/>
    </row>
    <row r="8" spans="1:8" ht="33.950000000000003" customHeight="1" x14ac:dyDescent="0.25">
      <c r="A8" s="4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50</v>
      </c>
    </row>
    <row r="9" spans="1:8" ht="38.1" customHeight="1" x14ac:dyDescent="0.25">
      <c r="A9" s="5">
        <v>1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6" t="str">
        <f>IF(COUNTA(A9:G9)=0,"",TEXT(A9,"00")&amp;"_"&amp;UPPER(D9)&amp;"_"&amp;E9&amp;"_"&amp;UPPER(F9)&amp;"_"&amp;G9)</f>
      </c>
    </row>
    <row r="10" spans="1:8" ht="38.1" customHeight="1" x14ac:dyDescent="0.25">
      <c r="A10" s="5">
        <v>2</v>
      </c>
      <c r="B10" s="5" t="s">
        <v>57</v>
      </c>
      <c r="C10" s="5" t="s">
        <v>52</v>
      </c>
      <c r="D10" s="5" t="s">
        <v>58</v>
      </c>
      <c r="E10" s="5" t="s">
        <v>59</v>
      </c>
      <c r="F10" s="5" t="s">
        <v>55</v>
      </c>
      <c r="G10" s="5" t="s">
        <v>56</v>
      </c>
      <c r="H10" s="6" t="str">
        <f>IF(COUNTA(A10:G10)=0,"",TEXT(A10,"00")&amp;"_"&amp;UPPER(D10)&amp;"_"&amp;E10&amp;"_"&amp;UPPER(F10)&amp;"_"&amp;G10)</f>
      </c>
    </row>
    <row r="11" spans="1:8" ht="38.1" customHeight="1" x14ac:dyDescent="0.25">
      <c r="A11" s="5">
        <v>3</v>
      </c>
      <c r="B11" s="5" t="s">
        <v>51</v>
      </c>
      <c r="C11" s="5" t="s">
        <v>52</v>
      </c>
      <c r="D11" s="5" t="s">
        <v>60</v>
      </c>
      <c r="E11" s="5" t="s">
        <v>61</v>
      </c>
      <c r="F11" s="5" t="s">
        <v>55</v>
      </c>
      <c r="G11" s="5" t="s">
        <v>62</v>
      </c>
      <c r="H11" s="6" t="str">
        <f>IF(COUNTA(A11:G11)=0,"",TEXT(A11,"00")&amp;"_"&amp;UPPER(D11)&amp;"_"&amp;E11&amp;"_"&amp;UPPER(F11)&amp;"_"&amp;G11)</f>
      </c>
    </row>
    <row r="12" spans="1:8" ht="38.1" customHeight="1" x14ac:dyDescent="0.25">
      <c r="A12" s="5">
        <v>4</v>
      </c>
      <c r="B12" s="5" t="s">
        <v>63</v>
      </c>
      <c r="C12" s="5" t="s">
        <v>52</v>
      </c>
      <c r="D12" s="5" t="s">
        <v>64</v>
      </c>
      <c r="E12" s="5" t="s">
        <v>65</v>
      </c>
      <c r="F12" s="5" t="s">
        <v>55</v>
      </c>
      <c r="G12" s="5" t="s">
        <v>56</v>
      </c>
      <c r="H12" s="6" t="str">
        <f>IF(COUNTA(A12:G12)=0,"",TEXT(A12,"00")&amp;"_"&amp;UPPER(D12)&amp;"_"&amp;E12&amp;"_"&amp;UPPER(F12)&amp;"_"&amp;G12)</f>
      </c>
    </row>
    <row r="13" spans="1:8" ht="38.1" customHeight="1" x14ac:dyDescent="0.25">
      <c r="A13" s="5"/>
      <c r="B13" s="5"/>
      <c r="C13" s="5"/>
      <c r="D13" s="5"/>
      <c r="E13" s="5"/>
      <c r="F13" s="5"/>
      <c r="G13" s="5"/>
      <c r="H13" s="6" t="str">
        <f>IF(COUNTA(A13:G13)=0,"",TEXT(A13,"00")&amp;"_"&amp;UPPER(D13)&amp;"_"&amp;E13&amp;"_"&amp;UPPER(F13)&amp;"_"&amp;G13)</f>
        <v/>
      </c>
    </row>
    <row r="14" spans="1:8" ht="21.75" x14ac:dyDescent="0.6">
      <c r="A14" s="10"/>
      <c r="B14" s="10"/>
      <c r="C14" s="10"/>
      <c r="D14" s="10"/>
      <c r="E14" s="10"/>
      <c r="F14" s="10"/>
      <c r="G14" s="10"/>
      <c r="H14" s="10"/>
    </row>
    <row r="15" spans="1:8" ht="24.95" customHeight="1" x14ac:dyDescent="0.6">
      <c r="A15" s="21" t="s">
        <v>66</v>
      </c>
      <c r="B15" s="22"/>
      <c r="C15" s="22"/>
      <c r="D15" s="22"/>
      <c r="E15" s="22"/>
      <c r="F15" s="22"/>
      <c r="G15" s="22"/>
      <c r="H15" s="22"/>
    </row>
    <row r="16" spans="1:8" ht="33.950000000000003" customHeight="1" x14ac:dyDescent="0.25">
      <c r="A16" s="4" t="s">
        <v>43</v>
      </c>
      <c r="B16" s="4" t="s">
        <v>44</v>
      </c>
      <c r="C16" s="4" t="s">
        <v>67</v>
      </c>
      <c r="D16" s="4" t="s">
        <v>68</v>
      </c>
      <c r="E16" s="4" t="s">
        <v>69</v>
      </c>
      <c r="F16" s="4" t="s">
        <v>70</v>
      </c>
      <c r="G16" s="4" t="s">
        <v>71</v>
      </c>
      <c r="H16" s="4" t="s">
        <v>50</v>
      </c>
    </row>
    <row r="17" spans="1:8" ht="38.1" customHeight="1" x14ac:dyDescent="0.25">
      <c r="A17" s="5">
        <v>1</v>
      </c>
      <c r="B17" s="5" t="s">
        <v>51</v>
      </c>
      <c r="C17" s="5" t="s">
        <v>72</v>
      </c>
      <c r="D17" s="5" t="s">
        <v>73</v>
      </c>
      <c r="E17" s="5" t="s">
        <v>74</v>
      </c>
      <c r="F17" s="5" t="s">
        <v>75</v>
      </c>
      <c r="G17" s="5" t="s">
        <v>76</v>
      </c>
      <c r="H17" s="6" t="str">
        <f>IF(COUNTA(A17:G17)=0,"",TEXT(A17,"00")&amp;"_"&amp;UPPER(D17)&amp;"_"&amp;E17&amp;"_"&amp;F17)</f>
      </c>
    </row>
    <row r="18" spans="1:8" ht="38.1" customHeight="1" x14ac:dyDescent="0.25">
      <c r="A18" s="5">
        <v>2</v>
      </c>
      <c r="B18" s="5" t="s">
        <v>57</v>
      </c>
      <c r="C18" s="5" t="s">
        <v>77</v>
      </c>
      <c r="D18" s="5" t="s">
        <v>73</v>
      </c>
      <c r="E18" s="5" t="s">
        <v>59</v>
      </c>
      <c r="F18" s="5" t="s">
        <v>78</v>
      </c>
      <c r="G18" s="5" t="s">
        <v>76</v>
      </c>
      <c r="H18" s="6" t="str">
        <f>IF(COUNTA(A18:G18)=0,"",TEXT(A18,"00")&amp;"_"&amp;UPPER(D18)&amp;"_"&amp;E18&amp;"_"&amp;F18)</f>
      </c>
    </row>
    <row r="19" spans="1:8" ht="38.1" customHeight="1" x14ac:dyDescent="0.25">
      <c r="A19" s="5">
        <v>3</v>
      </c>
      <c r="B19" s="5" t="s">
        <v>51</v>
      </c>
      <c r="C19" s="5" t="s">
        <v>79</v>
      </c>
      <c r="D19" s="5" t="s">
        <v>80</v>
      </c>
      <c r="E19" s="5" t="s">
        <v>81</v>
      </c>
      <c r="F19" s="5" t="s">
        <v>82</v>
      </c>
      <c r="G19" s="5" t="s">
        <v>76</v>
      </c>
      <c r="H19" s="6" t="str">
        <f>IF(COUNTA(A19:G19)=0,"",TEXT(A19,"00")&amp;"_"&amp;UPPER(D19)&amp;"_"&amp;E19&amp;"_"&amp;F19)</f>
      </c>
    </row>
    <row r="20" spans="1:8" ht="38.1" customHeight="1" x14ac:dyDescent="0.25">
      <c r="A20" s="5">
        <v>4</v>
      </c>
      <c r="B20" s="5" t="s">
        <v>63</v>
      </c>
      <c r="C20" s="5" t="s">
        <v>83</v>
      </c>
      <c r="D20" s="5" t="s">
        <v>84</v>
      </c>
      <c r="E20" s="5" t="s">
        <v>85</v>
      </c>
      <c r="F20" s="5" t="s">
        <v>82</v>
      </c>
      <c r="G20" s="5" t="s">
        <v>76</v>
      </c>
      <c r="H20" s="6" t="str">
        <f>IF(COUNTA(A20:G20)=0,"",TEXT(A20,"00")&amp;"_"&amp;UPPER(D20)&amp;"_"&amp;E20&amp;"_"&amp;F20)</f>
      </c>
    </row>
    <row r="21" spans="1:8" ht="38.1" customHeight="1" x14ac:dyDescent="0.25">
      <c r="A21" s="5"/>
      <c r="B21" s="5"/>
      <c r="C21" s="5"/>
      <c r="D21" s="5"/>
      <c r="E21" s="5"/>
      <c r="F21" s="5"/>
      <c r="G21" s="5"/>
      <c r="H21" s="6" t="str">
        <f>IF(COUNTA(A21:G21)=0,"",TEXT(A21,"00")&amp;"_"&amp;UPPER(D21)&amp;"_"&amp;E21&amp;"_"&amp;F21)</f>
        <v/>
      </c>
    </row>
    <row r="22" spans="1:8" ht="21.75" x14ac:dyDescent="0.6">
      <c r="A22" s="10"/>
      <c r="B22" s="10"/>
      <c r="C22" s="10"/>
      <c r="D22" s="10"/>
      <c r="E22" s="10"/>
      <c r="F22" s="10"/>
      <c r="G22" s="10"/>
      <c r="H22" s="10"/>
    </row>
    <row r="23" spans="1:8" ht="24.95" customHeight="1" x14ac:dyDescent="0.6">
      <c r="A23" s="21" t="s">
        <v>86</v>
      </c>
      <c r="B23" s="22"/>
      <c r="C23" s="22"/>
      <c r="D23" s="22"/>
      <c r="E23" s="22"/>
      <c r="F23" s="22"/>
      <c r="G23" s="22"/>
      <c r="H23" s="22"/>
    </row>
    <row r="24" spans="1:8" ht="33.950000000000003" customHeight="1" x14ac:dyDescent="0.25">
      <c r="A24" s="4" t="s">
        <v>43</v>
      </c>
      <c r="B24" s="4" t="s">
        <v>44</v>
      </c>
      <c r="C24" s="4" t="s">
        <v>87</v>
      </c>
      <c r="D24" s="4" t="s">
        <v>88</v>
      </c>
      <c r="E24" s="4" t="s">
        <v>89</v>
      </c>
      <c r="F24" s="4" t="s">
        <v>90</v>
      </c>
      <c r="G24" s="4" t="s">
        <v>91</v>
      </c>
      <c r="H24" s="4" t="s">
        <v>50</v>
      </c>
    </row>
    <row r="25" spans="1:8" ht="38.1" customHeight="1" x14ac:dyDescent="0.25">
      <c r="A25" s="5">
        <v>1</v>
      </c>
      <c r="B25" s="5" t="s">
        <v>51</v>
      </c>
      <c r="C25" s="5" t="s">
        <v>92</v>
      </c>
      <c r="D25" s="5" t="s">
        <v>93</v>
      </c>
      <c r="E25" s="5" t="s">
        <v>54</v>
      </c>
      <c r="F25" s="5" t="s">
        <v>94</v>
      </c>
      <c r="G25" s="5" t="s">
        <v>95</v>
      </c>
      <c r="H25" s="6" t="str">
        <f>IF(COUNTA(A25:G25)=0,"",TEXT(A25,"00")&amp;"_"&amp;UPPER(D25)&amp;"_"&amp;E25&amp;"_"&amp;F25&amp;"_"&amp;G25)</f>
      </c>
    </row>
    <row r="26" spans="1:8" ht="38.1" customHeight="1" x14ac:dyDescent="0.25">
      <c r="A26" s="5">
        <v>2</v>
      </c>
      <c r="B26" s="5" t="s">
        <v>57</v>
      </c>
      <c r="C26" s="5" t="s">
        <v>96</v>
      </c>
      <c r="D26" s="5" t="s">
        <v>97</v>
      </c>
      <c r="E26" s="5" t="s">
        <v>98</v>
      </c>
      <c r="F26" s="5" t="s">
        <v>99</v>
      </c>
      <c r="G26" s="5" t="s">
        <v>95</v>
      </c>
      <c r="H26" s="6" t="str">
        <f>IF(COUNTA(A26:G26)=0,"",TEXT(A26,"00")&amp;"_"&amp;UPPER(D26)&amp;"_"&amp;E26&amp;"_"&amp;F26&amp;"_"&amp;G26)</f>
      </c>
    </row>
    <row r="27" spans="1:8" ht="38.1" customHeight="1" x14ac:dyDescent="0.25">
      <c r="A27" s="5">
        <v>3</v>
      </c>
      <c r="B27" s="5" t="s">
        <v>51</v>
      </c>
      <c r="C27" s="5" t="s">
        <v>100</v>
      </c>
      <c r="D27" s="5" t="s">
        <v>101</v>
      </c>
      <c r="E27" s="5" t="s">
        <v>102</v>
      </c>
      <c r="F27" s="5" t="s">
        <v>103</v>
      </c>
      <c r="G27" s="5" t="s">
        <v>95</v>
      </c>
      <c r="H27" s="6" t="str">
        <f>IF(COUNTA(A27:G27)=0,"",TEXT(A27,"00")&amp;"_"&amp;UPPER(D27)&amp;"_"&amp;E27&amp;"_"&amp;F27&amp;"_"&amp;G27)</f>
      </c>
    </row>
    <row r="28" spans="1:8" ht="38.1" customHeight="1" x14ac:dyDescent="0.25">
      <c r="A28" s="5">
        <v>4</v>
      </c>
      <c r="B28" s="5" t="s">
        <v>63</v>
      </c>
      <c r="C28" s="5" t="s">
        <v>104</v>
      </c>
      <c r="D28" s="5" t="s">
        <v>93</v>
      </c>
      <c r="E28" s="5" t="s">
        <v>105</v>
      </c>
      <c r="F28" s="5" t="s">
        <v>106</v>
      </c>
      <c r="G28" s="5" t="s">
        <v>107</v>
      </c>
      <c r="H28" s="6" t="str">
        <f>IF(COUNTA(A28:G28)=0,"",TEXT(A28,"00")&amp;"_"&amp;UPPER(D28)&amp;"_"&amp;E28&amp;"_"&amp;F28&amp;"_"&amp;G28)</f>
      </c>
    </row>
    <row r="29" spans="1:8" ht="38.1" customHeight="1" x14ac:dyDescent="0.25">
      <c r="A29" s="5"/>
      <c r="B29" s="5"/>
      <c r="C29" s="5"/>
      <c r="D29" s="5"/>
      <c r="E29" s="5"/>
      <c r="F29" s="5"/>
      <c r="G29" s="5"/>
      <c r="H29" s="6" t="str">
        <f>IF(COUNTA(A29:G29)=0,"",TEXT(A29,"00")&amp;"_"&amp;UPPER(D29)&amp;"_"&amp;E29&amp;"_"&amp;F29&amp;"_"&amp;G29)</f>
        <v/>
      </c>
    </row>
    <row r="30" spans="1:8" ht="21.75" x14ac:dyDescent="0.6">
      <c r="A30" s="10"/>
      <c r="B30" s="10"/>
      <c r="C30" s="10"/>
      <c r="D30" s="10"/>
      <c r="E30" s="10"/>
      <c r="F30" s="10"/>
      <c r="G30" s="10"/>
      <c r="H30" s="10"/>
    </row>
    <row r="31" spans="1:8" ht="24.95" customHeight="1" x14ac:dyDescent="0.6">
      <c r="A31" s="21" t="s">
        <v>108</v>
      </c>
      <c r="B31" s="22"/>
      <c r="C31" s="22"/>
      <c r="D31" s="22"/>
      <c r="E31" s="22"/>
      <c r="F31" s="22"/>
      <c r="G31" s="22"/>
      <c r="H31" s="22"/>
    </row>
    <row r="32" spans="1:8" ht="33.950000000000003" customHeight="1" x14ac:dyDescent="0.25">
      <c r="A32" s="4" t="s">
        <v>109</v>
      </c>
      <c r="B32" s="4" t="s">
        <v>110</v>
      </c>
      <c r="C32" s="4" t="s">
        <v>111</v>
      </c>
      <c r="D32" s="4" t="s">
        <v>112</v>
      </c>
      <c r="E32" s="4" t="s">
        <v>113</v>
      </c>
      <c r="F32" s="4" t="s">
        <v>114</v>
      </c>
      <c r="G32" s="4" t="s">
        <v>115</v>
      </c>
      <c r="H32" s="4" t="s">
        <v>116</v>
      </c>
    </row>
    <row r="33" spans="1:8" ht="38.1" customHeight="1" x14ac:dyDescent="0.25">
      <c r="A33" s="5" t="s">
        <v>73</v>
      </c>
      <c r="B33" s="5" t="s">
        <v>117</v>
      </c>
      <c r="C33" s="5"/>
      <c r="D33" s="5" t="s">
        <v>118</v>
      </c>
      <c r="E33" s="5"/>
      <c r="F33" s="5" t="s">
        <v>119</v>
      </c>
      <c r="G33" s="5" t="s">
        <v>53</v>
      </c>
      <c r="H33" s="5" t="s">
        <v>120</v>
      </c>
    </row>
    <row r="34" spans="1:8" ht="38.1" customHeight="1" x14ac:dyDescent="0.25">
      <c r="A34" s="5" t="s">
        <v>84</v>
      </c>
      <c r="B34" s="5" t="s">
        <v>121</v>
      </c>
      <c r="C34" s="5" t="s">
        <v>122</v>
      </c>
      <c r="D34" s="5" t="s">
        <v>82</v>
      </c>
      <c r="E34" s="5"/>
      <c r="F34" s="5" t="s">
        <v>123</v>
      </c>
      <c r="G34" s="5" t="s">
        <v>124</v>
      </c>
      <c r="H34" s="5" t="s">
        <v>120</v>
      </c>
    </row>
    <row r="35" spans="1:8" ht="38.1" customHeight="1" x14ac:dyDescent="0.25">
      <c r="A35" s="5" t="s">
        <v>80</v>
      </c>
      <c r="B35" s="5" t="s">
        <v>81</v>
      </c>
      <c r="C35" s="5" t="s">
        <v>80</v>
      </c>
      <c r="D35" s="5"/>
      <c r="E35" s="5"/>
      <c r="F35" s="5" t="s">
        <v>125</v>
      </c>
      <c r="G35" s="5" t="s">
        <v>126</v>
      </c>
      <c r="H35" s="5" t="s">
        <v>127</v>
      </c>
    </row>
    <row r="36" spans="1:8" ht="38.1" customHeight="1" x14ac:dyDescent="0.25">
      <c r="A36" s="5" t="s">
        <v>128</v>
      </c>
      <c r="B36" s="5" t="s">
        <v>129</v>
      </c>
      <c r="C36" s="5" t="s">
        <v>130</v>
      </c>
      <c r="D36" s="5"/>
      <c r="E36" s="5" t="s">
        <v>131</v>
      </c>
      <c r="F36" s="5" t="s">
        <v>132</v>
      </c>
      <c r="G36" s="5" t="s">
        <v>133</v>
      </c>
      <c r="H36" s="5" t="s">
        <v>134</v>
      </c>
    </row>
  </sheetData>
  <autoFilter ref="A8:H36" xr:uid="{00000000-0009-0000-0000-000001000000}"/>
  <mergeCells count="7">
    <mergeCell ref="A2:H3"/>
    <mergeCell ref="A1:H1"/>
    <mergeCell ref="A23:H23"/>
    <mergeCell ref="A31:H31"/>
    <mergeCell ref="A4:H5"/>
    <mergeCell ref="A15:H15"/>
    <mergeCell ref="A7:H7"/>
  </mergeCells>
  <dataValidations count="5">
    <dataValidation type="list" allowBlank="1" showInputMessage="1" errorTitle="Valor no incluido" error="Elige un valor de la lista o revisa el est?ndar acordado." promptTitle="Valor recomendado" prompt="Selecciona la plataforma." sqref="B9:B40" xr:uid="{00000000-0002-0000-0100-000000000000}">
      <formula1>"Meta Ads,Google Ads,LinkedIn Ads,TikTok Ads"</formula1>
    </dataValidation>
    <dataValidation type="list" allowBlank="1" showInputMessage="1" errorTitle="Valor no incluido" error="Elige un valor de la lista o revisa el est?ndar acordado." promptTitle="Valor recomendado" prompt="Usa el objetivo de negocio acordado." sqref="D9:D13" xr:uid="{00000000-0002-0000-0100-000001000000}">
      <formula1>"Conversi?n,Adquisici?n,Reconocimiento,Consideraci?n,Retenci?n"</formula1>
    </dataValidation>
    <dataValidation type="list" allowBlank="1" showInputMessage="1" errorTitle="Valor no incluido" error="Elige un valor de la lista o revisa el est?ndar acordado." promptTitle="Valor recomendado" prompt="Selecciona el tipo de audiencia." sqref="D17:D21" xr:uid="{00000000-0002-0000-0100-000002000000}">
      <formula1>"Prospecci?n,Remarketing,CRM,Similar"</formula1>
    </dataValidation>
    <dataValidation type="list" allowBlank="1" showInputMessage="1" errorTitle="Valor no incluido" error="Elige un valor de la lista o revisa el est?ndar acordado." promptTitle="Valor recomendado" prompt="Selecciona el formato creativo." sqref="D25:D29" xr:uid="{00000000-0002-0000-0100-000003000000}">
      <formula1>"Video,Estático,Carrusel,Colección,Responsive Search Ad,Cuotas dinámicas"</formula1>
    </dataValidation>
    <dataValidation type="list" allowBlank="1" showInputMessage="1" errorTitle="Valor no incluido" error="Elige un valor de la lista o revisa el est?ndar acordado." promptTitle="Valor recomendado" prompt="Registra el estado operativo." sqref="H33:H36" xr:uid="{00000000-0002-0000-0100-000004000000}">
      <formula1>"Borrador,En revisi?n,Aprobado,Activo,Cerrado,Reemplazado,Archivado"</formula1>
    </dataValidation>
  </dataValidation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0505"/>
    <pageSetUpPr fitToPage="1"/>
  </sheetPr>
  <dimension ref="A1:J32"/>
  <sheetViews>
    <sheetView showGridLines="0" zoomScale="9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40" customWidth="1"/>
    <col min="3" max="3" width="48" customWidth="1"/>
    <col min="4" max="4" width="46" customWidth="1"/>
    <col min="5" max="5" width="22" customWidth="1"/>
    <col min="6" max="10" width="18" customWidth="1"/>
  </cols>
  <sheetData>
    <row r="1" spans="1:10" ht="24" customHeight="1" x14ac:dyDescent="0.6">
      <c r="A1" s="20" t="s">
        <v>135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8" t="s">
        <v>136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23.1" customHeight="1" x14ac:dyDescent="0.25">
      <c r="A4" s="27" t="s">
        <v>137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8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21.75" x14ac:dyDescent="0.6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24.95" customHeight="1" x14ac:dyDescent="0.6">
      <c r="A7" s="21" t="s">
        <v>138</v>
      </c>
      <c r="B7" s="22"/>
      <c r="C7" s="22"/>
      <c r="D7" s="22"/>
      <c r="E7" s="11"/>
      <c r="F7" s="11"/>
      <c r="G7" s="11"/>
      <c r="H7" s="11"/>
      <c r="I7" s="11"/>
      <c r="J7" s="11"/>
    </row>
    <row r="8" spans="1:10" ht="33.950000000000003" customHeight="1" x14ac:dyDescent="0.6">
      <c r="A8" s="4" t="s">
        <v>139</v>
      </c>
      <c r="B8" s="4" t="s">
        <v>140</v>
      </c>
      <c r="C8" s="4" t="s">
        <v>141</v>
      </c>
      <c r="D8" s="4" t="s">
        <v>142</v>
      </c>
      <c r="E8" s="10"/>
      <c r="F8" s="10"/>
      <c r="G8" s="10"/>
      <c r="H8" s="10"/>
      <c r="I8" s="10"/>
      <c r="J8" s="10"/>
    </row>
    <row r="9" spans="1:10" ht="38.1" customHeight="1" x14ac:dyDescent="0.6">
      <c r="A9" s="7" t="s">
        <v>143</v>
      </c>
      <c r="B9" s="7" t="s">
        <v>144</v>
      </c>
      <c r="C9" s="7" t="s">
        <v>145</v>
      </c>
      <c r="D9" s="7" t="s">
        <v>146</v>
      </c>
      <c r="E9" s="10"/>
      <c r="F9" s="10"/>
      <c r="G9" s="10"/>
      <c r="H9" s="10"/>
      <c r="I9" s="10"/>
      <c r="J9" s="10"/>
    </row>
    <row r="10" spans="1:10" ht="38.1" customHeight="1" x14ac:dyDescent="0.6">
      <c r="A10" s="7" t="s">
        <v>147</v>
      </c>
      <c r="B10" s="7" t="s">
        <v>148</v>
      </c>
      <c r="C10" s="7" t="s">
        <v>149</v>
      </c>
      <c r="D10" s="7" t="s">
        <v>150</v>
      </c>
      <c r="E10" s="10"/>
      <c r="F10" s="10"/>
      <c r="G10" s="10"/>
      <c r="H10" s="10"/>
      <c r="I10" s="10"/>
      <c r="J10" s="10"/>
    </row>
    <row r="11" spans="1:10" ht="38.1" customHeight="1" x14ac:dyDescent="0.6">
      <c r="A11" s="7" t="s">
        <v>151</v>
      </c>
      <c r="B11" s="7" t="s">
        <v>152</v>
      </c>
      <c r="C11" s="7" t="s">
        <v>59</v>
      </c>
      <c r="D11" s="7" t="s">
        <v>153</v>
      </c>
      <c r="E11" s="10"/>
      <c r="F11" s="10"/>
      <c r="G11" s="10"/>
      <c r="H11" s="10"/>
      <c r="I11" s="10"/>
      <c r="J11" s="10"/>
    </row>
    <row r="12" spans="1:10" ht="38.1" customHeight="1" x14ac:dyDescent="0.6">
      <c r="A12" s="7" t="s">
        <v>49</v>
      </c>
      <c r="B12" s="7" t="s">
        <v>154</v>
      </c>
      <c r="C12" s="7" t="s">
        <v>155</v>
      </c>
      <c r="D12" s="7" t="s">
        <v>156</v>
      </c>
      <c r="E12" s="10"/>
      <c r="F12" s="10"/>
      <c r="G12" s="10"/>
      <c r="H12" s="10"/>
      <c r="I12" s="10"/>
      <c r="J12" s="10"/>
    </row>
    <row r="13" spans="1:10" ht="38.1" customHeight="1" x14ac:dyDescent="0.6">
      <c r="A13" s="7" t="s">
        <v>157</v>
      </c>
      <c r="B13" s="7" t="s">
        <v>158</v>
      </c>
      <c r="C13" s="7" t="s">
        <v>159</v>
      </c>
      <c r="D13" s="7" t="s">
        <v>160</v>
      </c>
      <c r="E13" s="10"/>
      <c r="F13" s="10"/>
      <c r="G13" s="10"/>
      <c r="H13" s="10"/>
      <c r="I13" s="10"/>
      <c r="J13" s="10"/>
    </row>
    <row r="14" spans="1:10" ht="38.1" customHeight="1" x14ac:dyDescent="0.6">
      <c r="A14" s="7" t="s">
        <v>161</v>
      </c>
      <c r="B14" s="7" t="s">
        <v>162</v>
      </c>
      <c r="C14" s="7" t="s">
        <v>163</v>
      </c>
      <c r="D14" s="7" t="s">
        <v>164</v>
      </c>
      <c r="E14" s="10"/>
      <c r="F14" s="10"/>
      <c r="G14" s="10"/>
      <c r="H14" s="10"/>
      <c r="I14" s="10"/>
      <c r="J14" s="10"/>
    </row>
    <row r="15" spans="1:10" ht="38.1" customHeight="1" x14ac:dyDescent="0.6">
      <c r="A15" s="7" t="s">
        <v>165</v>
      </c>
      <c r="B15" s="7" t="s">
        <v>166</v>
      </c>
      <c r="C15" s="7" t="s">
        <v>167</v>
      </c>
      <c r="D15" s="7" t="s">
        <v>168</v>
      </c>
      <c r="E15" s="10"/>
      <c r="F15" s="10"/>
      <c r="G15" s="10"/>
      <c r="H15" s="10"/>
      <c r="I15" s="10"/>
      <c r="J15" s="10"/>
    </row>
    <row r="16" spans="1:10" ht="38.1" customHeight="1" x14ac:dyDescent="0.6">
      <c r="A16" s="7" t="s">
        <v>169</v>
      </c>
      <c r="B16" s="7" t="s">
        <v>170</v>
      </c>
      <c r="C16" s="7" t="s">
        <v>171</v>
      </c>
      <c r="D16" s="7" t="s">
        <v>172</v>
      </c>
      <c r="E16" s="10"/>
      <c r="F16" s="10"/>
      <c r="G16" s="10"/>
      <c r="H16" s="10"/>
      <c r="I16" s="10"/>
      <c r="J16" s="10"/>
    </row>
    <row r="17" spans="1:10" ht="38.1" customHeight="1" x14ac:dyDescent="0.6">
      <c r="A17" s="7" t="s">
        <v>173</v>
      </c>
      <c r="B17" s="7" t="s">
        <v>174</v>
      </c>
      <c r="C17" s="7" t="s">
        <v>175</v>
      </c>
      <c r="D17" s="7" t="s">
        <v>176</v>
      </c>
      <c r="E17" s="10"/>
      <c r="F17" s="10"/>
      <c r="G17" s="10"/>
      <c r="H17" s="10"/>
      <c r="I17" s="10"/>
      <c r="J17" s="10"/>
    </row>
    <row r="18" spans="1:10" ht="38.1" customHeight="1" x14ac:dyDescent="0.6">
      <c r="A18" s="7" t="s">
        <v>177</v>
      </c>
      <c r="B18" s="7" t="s">
        <v>178</v>
      </c>
      <c r="C18" s="7" t="s">
        <v>179</v>
      </c>
      <c r="D18" s="7" t="s">
        <v>156</v>
      </c>
      <c r="E18" s="10"/>
      <c r="F18" s="10"/>
      <c r="G18" s="10"/>
      <c r="H18" s="10"/>
      <c r="I18" s="10"/>
      <c r="J18" s="10"/>
    </row>
    <row r="19" spans="1:10" ht="21.75" x14ac:dyDescent="0.6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24.95" customHeight="1" x14ac:dyDescent="0.6">
      <c r="A20" s="21" t="s">
        <v>180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10" ht="33.950000000000003" customHeight="1" x14ac:dyDescent="0.25">
      <c r="A21" s="4" t="s">
        <v>181</v>
      </c>
      <c r="B21" s="4" t="s">
        <v>182</v>
      </c>
      <c r="C21" s="4" t="s">
        <v>68</v>
      </c>
      <c r="D21" s="4" t="s">
        <v>183</v>
      </c>
      <c r="E21" s="4" t="s">
        <v>49</v>
      </c>
      <c r="F21" s="4" t="s">
        <v>71</v>
      </c>
      <c r="G21" s="4" t="s">
        <v>116</v>
      </c>
      <c r="H21" s="4" t="s">
        <v>184</v>
      </c>
      <c r="I21" s="4" t="s">
        <v>185</v>
      </c>
      <c r="J21" s="4" t="s">
        <v>186</v>
      </c>
    </row>
    <row r="22" spans="1:10" ht="38.1" customHeight="1" x14ac:dyDescent="0.25">
      <c r="A22" s="5" t="s">
        <v>159</v>
      </c>
      <c r="B22" s="5" t="s">
        <v>52</v>
      </c>
      <c r="C22" s="5" t="s">
        <v>187</v>
      </c>
      <c r="D22" s="5" t="s">
        <v>188</v>
      </c>
      <c r="E22" s="5" t="s">
        <v>62</v>
      </c>
      <c r="F22" s="5" t="s">
        <v>189</v>
      </c>
      <c r="G22" s="5" t="s">
        <v>190</v>
      </c>
      <c r="H22" s="5" t="s">
        <v>182</v>
      </c>
      <c r="I22" s="8" t="s">
        <v>191</v>
      </c>
      <c r="J22" s="8" t="s">
        <v>192</v>
      </c>
    </row>
    <row r="23" spans="1:10" ht="38.1" customHeight="1" x14ac:dyDescent="0.25">
      <c r="A23" s="5" t="s">
        <v>175</v>
      </c>
      <c r="B23" s="5" t="s">
        <v>52</v>
      </c>
      <c r="C23" s="5" t="s">
        <v>173</v>
      </c>
      <c r="D23" s="5" t="s">
        <v>193</v>
      </c>
      <c r="E23" s="5" t="s">
        <v>194</v>
      </c>
      <c r="F23" s="5" t="s">
        <v>195</v>
      </c>
      <c r="G23" s="5" t="s">
        <v>127</v>
      </c>
      <c r="H23" s="5" t="s">
        <v>182</v>
      </c>
      <c r="I23" s="8" t="s">
        <v>196</v>
      </c>
      <c r="J23" s="8" t="s">
        <v>197</v>
      </c>
    </row>
    <row r="24" spans="1:10" ht="38.1" customHeight="1" x14ac:dyDescent="0.25">
      <c r="A24" s="5" t="s">
        <v>179</v>
      </c>
      <c r="B24" s="5" t="s">
        <v>52</v>
      </c>
      <c r="C24" s="5" t="s">
        <v>177</v>
      </c>
      <c r="D24" s="5" t="s">
        <v>54</v>
      </c>
      <c r="E24" s="5" t="s">
        <v>198</v>
      </c>
      <c r="F24" s="5" t="s">
        <v>199</v>
      </c>
      <c r="G24" s="5" t="s">
        <v>120</v>
      </c>
      <c r="H24" s="5" t="s">
        <v>200</v>
      </c>
      <c r="I24" s="8" t="s">
        <v>201</v>
      </c>
      <c r="J24" s="8" t="s">
        <v>202</v>
      </c>
    </row>
    <row r="25" spans="1:10" ht="38.1" customHeight="1" x14ac:dyDescent="0.25">
      <c r="A25" s="5"/>
      <c r="B25" s="5"/>
      <c r="C25" s="5"/>
      <c r="D25" s="5"/>
      <c r="E25" s="5"/>
      <c r="F25" s="5"/>
      <c r="G25" s="5" t="s">
        <v>134</v>
      </c>
      <c r="H25" s="5"/>
      <c r="I25" s="8"/>
      <c r="J25" s="8"/>
    </row>
    <row r="26" spans="1:10" ht="21.75" x14ac:dyDescent="0.6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24.95" customHeight="1" x14ac:dyDescent="0.6">
      <c r="A27" s="21" t="s">
        <v>203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21.75" x14ac:dyDescent="0.6">
      <c r="A28" s="3" t="s">
        <v>31</v>
      </c>
      <c r="B28" s="25" t="s">
        <v>204</v>
      </c>
      <c r="C28" s="26"/>
      <c r="D28" s="26"/>
      <c r="E28" s="26"/>
      <c r="F28" s="26"/>
      <c r="G28" s="26"/>
      <c r="H28" s="26"/>
      <c r="I28" s="26"/>
      <c r="J28" s="26"/>
    </row>
    <row r="29" spans="1:10" ht="21.75" x14ac:dyDescent="0.6">
      <c r="A29" s="3" t="s">
        <v>31</v>
      </c>
      <c r="B29" s="25" t="s">
        <v>205</v>
      </c>
      <c r="C29" s="26"/>
      <c r="D29" s="26"/>
      <c r="E29" s="26"/>
      <c r="F29" s="26"/>
      <c r="G29" s="26"/>
      <c r="H29" s="26"/>
      <c r="I29" s="26"/>
      <c r="J29" s="26"/>
    </row>
    <row r="30" spans="1:10" ht="21.75" x14ac:dyDescent="0.6">
      <c r="A30" s="3" t="s">
        <v>31</v>
      </c>
      <c r="B30" s="25" t="s">
        <v>206</v>
      </c>
      <c r="C30" s="26"/>
      <c r="D30" s="26"/>
      <c r="E30" s="26"/>
      <c r="F30" s="26"/>
      <c r="G30" s="26"/>
      <c r="H30" s="26"/>
      <c r="I30" s="26"/>
      <c r="J30" s="26"/>
    </row>
    <row r="31" spans="1:10" ht="21.75" x14ac:dyDescent="0.6">
      <c r="A31" s="3" t="s">
        <v>31</v>
      </c>
      <c r="B31" s="25" t="s">
        <v>207</v>
      </c>
      <c r="C31" s="26"/>
      <c r="D31" s="26"/>
      <c r="E31" s="26"/>
      <c r="F31" s="26"/>
      <c r="G31" s="26"/>
      <c r="H31" s="26"/>
      <c r="I31" s="26"/>
      <c r="J31" s="26"/>
    </row>
    <row r="32" spans="1:10" ht="21.75" x14ac:dyDescent="0.6">
      <c r="A32" s="3" t="s">
        <v>31</v>
      </c>
      <c r="B32" s="25" t="s">
        <v>208</v>
      </c>
      <c r="C32" s="26"/>
      <c r="D32" s="26"/>
      <c r="E32" s="26"/>
      <c r="F32" s="26"/>
      <c r="G32" s="26"/>
      <c r="H32" s="26"/>
      <c r="I32" s="26"/>
      <c r="J32" s="26"/>
    </row>
  </sheetData>
  <mergeCells count="11">
    <mergeCell ref="B29:J29"/>
    <mergeCell ref="A1:J1"/>
    <mergeCell ref="B28:J28"/>
    <mergeCell ref="A27:J27"/>
    <mergeCell ref="B32:J32"/>
    <mergeCell ref="B31:J31"/>
    <mergeCell ref="A7:D7"/>
    <mergeCell ref="A20:J20"/>
    <mergeCell ref="A4:J5"/>
    <mergeCell ref="A2:J3"/>
    <mergeCell ref="B30:J30"/>
  </mergeCells>
  <dataValidations count="2">
    <dataValidation type="list" allowBlank="1" showInputMessage="1" errorTitle="Valor no incluido" error="Elige un valor de la lista o revisa el est?ndar acordado." promptTitle="Valor recomendado" prompt="Selecciona el estado del documento." sqref="G22:G25" xr:uid="{00000000-0002-0000-0200-000000000000}">
      <formula1>"Borrador,En revisi?n,Aprobado,Activo,Cerrado,Reemplazado,Archivado"</formula1>
    </dataValidation>
    <dataValidation type="list" allowBlank="1" showInputMessage="1" errorTitle="Valor no incluido" error="Elige un valor de la lista o revisa el est?ndar acordado." promptTitle="Valor recomendado" prompt="Selecciona la visibilidad." sqref="H22:H25" xr:uid="{00000000-0002-0000-0200-000001000000}">
      <formula1>"Interna,Cliente,P?blica,Restringida"</formula1>
    </dataValidation>
  </dataValidation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400"/>
    <pageSetUpPr fitToPage="1"/>
  </sheetPr>
  <dimension ref="A1:K33"/>
  <sheetViews>
    <sheetView showGridLines="0" zoomScale="90" workbookViewId="0">
      <pane ySplit="16" topLeftCell="A17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4" width="17" customWidth="1"/>
    <col min="5" max="6" width="34" customWidth="1"/>
    <col min="7" max="7" width="28" customWidth="1"/>
    <col min="8" max="8" width="12" customWidth="1"/>
    <col min="9" max="9" width="78" customWidth="1"/>
    <col min="10" max="10" width="20" customWidth="1"/>
    <col min="11" max="11" width="15" customWidth="1"/>
  </cols>
  <sheetData>
    <row r="1" spans="1:11" ht="24" customHeight="1" x14ac:dyDescent="0.6">
      <c r="A1" s="20" t="s">
        <v>209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8" t="s">
        <v>210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23.1" customHeight="1" x14ac:dyDescent="0.25">
      <c r="A4" s="27" t="s">
        <v>211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18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21.75" x14ac:dyDescent="0.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24.95" customHeight="1" x14ac:dyDescent="0.6">
      <c r="A7" s="21" t="s">
        <v>212</v>
      </c>
      <c r="B7" s="22"/>
      <c r="C7" s="22"/>
      <c r="D7" s="22"/>
      <c r="E7" s="22"/>
      <c r="F7" s="22"/>
      <c r="G7" s="11"/>
      <c r="H7" s="11"/>
      <c r="I7" s="11"/>
      <c r="J7" s="11"/>
      <c r="K7" s="11"/>
    </row>
    <row r="8" spans="1:11" ht="33.950000000000003" customHeight="1" x14ac:dyDescent="0.6">
      <c r="A8" s="4" t="s">
        <v>213</v>
      </c>
      <c r="B8" s="4" t="s">
        <v>214</v>
      </c>
      <c r="C8" s="4" t="s">
        <v>215</v>
      </c>
      <c r="D8" s="4" t="s">
        <v>216</v>
      </c>
      <c r="E8" s="4" t="s">
        <v>217</v>
      </c>
      <c r="F8" s="4" t="s">
        <v>218</v>
      </c>
      <c r="G8" s="10"/>
      <c r="H8" s="10"/>
      <c r="I8" s="10"/>
      <c r="J8" s="10"/>
      <c r="K8" s="10"/>
    </row>
    <row r="9" spans="1:11" ht="38.1" customHeight="1" x14ac:dyDescent="0.6">
      <c r="A9" s="7" t="s">
        <v>219</v>
      </c>
      <c r="B9" s="7" t="s">
        <v>220</v>
      </c>
      <c r="C9" s="7" t="s">
        <v>221</v>
      </c>
      <c r="D9" s="7" t="s">
        <v>222</v>
      </c>
      <c r="E9" s="7" t="s">
        <v>223</v>
      </c>
      <c r="F9" s="7" t="s">
        <v>224</v>
      </c>
      <c r="G9" s="10"/>
      <c r="H9" s="10"/>
      <c r="I9" s="10"/>
      <c r="J9" s="10"/>
      <c r="K9" s="10"/>
    </row>
    <row r="10" spans="1:11" ht="38.1" customHeight="1" x14ac:dyDescent="0.6">
      <c r="A10" s="7" t="s">
        <v>225</v>
      </c>
      <c r="B10" s="7" t="s">
        <v>220</v>
      </c>
      <c r="C10" s="7" t="s">
        <v>226</v>
      </c>
      <c r="D10" s="7" t="s">
        <v>227</v>
      </c>
      <c r="E10" s="7" t="s">
        <v>228</v>
      </c>
      <c r="F10" s="7" t="s">
        <v>224</v>
      </c>
      <c r="G10" s="10"/>
      <c r="H10" s="10"/>
      <c r="I10" s="10"/>
      <c r="J10" s="10"/>
      <c r="K10" s="10"/>
    </row>
    <row r="11" spans="1:11" ht="38.1" customHeight="1" x14ac:dyDescent="0.6">
      <c r="A11" s="7" t="s">
        <v>229</v>
      </c>
      <c r="B11" s="7" t="s">
        <v>220</v>
      </c>
      <c r="C11" s="7" t="s">
        <v>230</v>
      </c>
      <c r="D11" s="7" t="s">
        <v>231</v>
      </c>
      <c r="E11" s="7" t="s">
        <v>232</v>
      </c>
      <c r="F11" s="7" t="s">
        <v>233</v>
      </c>
      <c r="G11" s="10"/>
      <c r="H11" s="10"/>
      <c r="I11" s="10"/>
      <c r="J11" s="10"/>
      <c r="K11" s="10"/>
    </row>
    <row r="12" spans="1:11" ht="38.1" customHeight="1" x14ac:dyDescent="0.6">
      <c r="A12" s="7" t="s">
        <v>234</v>
      </c>
      <c r="B12" s="7" t="s">
        <v>235</v>
      </c>
      <c r="C12" s="7" t="s">
        <v>236</v>
      </c>
      <c r="D12" s="7" t="s">
        <v>237</v>
      </c>
      <c r="E12" s="7" t="s">
        <v>238</v>
      </c>
      <c r="F12" s="7" t="s">
        <v>233</v>
      </c>
      <c r="G12" s="10"/>
      <c r="H12" s="10"/>
      <c r="I12" s="10"/>
      <c r="J12" s="10"/>
      <c r="K12" s="10"/>
    </row>
    <row r="13" spans="1:11" ht="38.1" customHeight="1" x14ac:dyDescent="0.6">
      <c r="A13" s="7" t="s">
        <v>239</v>
      </c>
      <c r="B13" s="7" t="s">
        <v>240</v>
      </c>
      <c r="C13" s="7" t="s">
        <v>241</v>
      </c>
      <c r="D13" s="7" t="s">
        <v>242</v>
      </c>
      <c r="E13" s="7" t="s">
        <v>243</v>
      </c>
      <c r="F13" s="7" t="s">
        <v>244</v>
      </c>
      <c r="G13" s="10"/>
      <c r="H13" s="10"/>
      <c r="I13" s="10"/>
      <c r="J13" s="10"/>
      <c r="K13" s="10"/>
    </row>
    <row r="14" spans="1:11" ht="38.1" customHeight="1" x14ac:dyDescent="0.6">
      <c r="A14" s="7" t="s">
        <v>245</v>
      </c>
      <c r="B14" s="7" t="s">
        <v>240</v>
      </c>
      <c r="C14" s="7" t="s">
        <v>246</v>
      </c>
      <c r="D14" s="7" t="s">
        <v>17</v>
      </c>
      <c r="E14" s="7" t="s">
        <v>247</v>
      </c>
      <c r="F14" s="7" t="s">
        <v>248</v>
      </c>
      <c r="G14" s="10"/>
      <c r="H14" s="10"/>
      <c r="I14" s="10"/>
      <c r="J14" s="10"/>
      <c r="K14" s="10"/>
    </row>
    <row r="15" spans="1:11" ht="21.75" x14ac:dyDescent="0.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4.95" customHeight="1" x14ac:dyDescent="0.6">
      <c r="A16" s="21" t="s">
        <v>249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33.950000000000003" customHeight="1" x14ac:dyDescent="0.25">
      <c r="A17" s="4" t="s">
        <v>250</v>
      </c>
      <c r="B17" s="4" t="s">
        <v>251</v>
      </c>
      <c r="C17" s="4" t="s">
        <v>219</v>
      </c>
      <c r="D17" s="4" t="s">
        <v>225</v>
      </c>
      <c r="E17" s="4" t="s">
        <v>229</v>
      </c>
      <c r="F17" s="4" t="s">
        <v>234</v>
      </c>
      <c r="G17" s="4" t="s">
        <v>239</v>
      </c>
      <c r="H17" s="4" t="s">
        <v>245</v>
      </c>
      <c r="I17" s="4" t="s">
        <v>252</v>
      </c>
      <c r="J17" s="4" t="s">
        <v>71</v>
      </c>
      <c r="K17" s="4" t="s">
        <v>253</v>
      </c>
    </row>
    <row r="18" spans="1:11" ht="38.1" customHeight="1" x14ac:dyDescent="0.25">
      <c r="A18" s="5" t="s">
        <v>51</v>
      </c>
      <c r="B18" s="5" t="s">
        <v>254</v>
      </c>
      <c r="C18" s="5" t="s">
        <v>222</v>
      </c>
      <c r="D18" s="5" t="s">
        <v>227</v>
      </c>
      <c r="E18" s="5" t="s">
        <v>255</v>
      </c>
      <c r="F18" s="5" t="s">
        <v>256</v>
      </c>
      <c r="G18" s="5" t="s">
        <v>257</v>
      </c>
      <c r="H18" s="5" t="s">
        <v>17</v>
      </c>
      <c r="I18" s="6" t="str">
        <f t="shared" ref="I18:I25" si="0">IF(OR(B18="",C18="",D18="",E18=""),"",B18&amp;IF(ISNUMBER(SEARCH("~?",B18)),"&amp;","?")&amp;"utm_source="&amp;LOWER(SUBSTITUTE(C18," ","-"))&amp;"&amp;utm_medium="&amp;LOWER(SUBSTITUTE(D18," ","-"))&amp;"&amp;utm_campaign="&amp;LOWER(SUBSTITUTE(E18," ","-"))&amp;IF(F18&lt;&gt;"","&amp;utm_content="&amp;LOWER(SUBSTITUTE(F18," ","-")),"")&amp;IF(G18&lt;&gt;"","&amp;utm_term="&amp;LOWER(SUBSTITUTE(G18," ","-")),"")&amp;IF(H18&lt;&gt;"","&amp;utm_id="&amp;LOWER(SUBSTITUTE(H18," ","-")),""))</f>
        <v>https://casa-apuestas.example/bono-bienvenida?utm_source=instagram&amp;utm_medium=paid_social&amp;utm_campaign=adquisicion-bono-bienvenida-co-2026-09&amp;utm_content=video-bono-bienvenida-registrate-v01&amp;utm_term=prospeccion-futbol&amp;utm_id=01</v>
      </c>
      <c r="J18" s="5" t="s">
        <v>76</v>
      </c>
      <c r="K18" s="5" t="s">
        <v>258</v>
      </c>
    </row>
    <row r="19" spans="1:11" ht="38.1" customHeight="1" x14ac:dyDescent="0.25">
      <c r="A19" s="5" t="s">
        <v>57</v>
      </c>
      <c r="B19" s="5" t="s">
        <v>259</v>
      </c>
      <c r="C19" s="5" t="s">
        <v>260</v>
      </c>
      <c r="D19" s="5" t="s">
        <v>261</v>
      </c>
      <c r="E19" s="5" t="s">
        <v>262</v>
      </c>
      <c r="F19" s="5" t="s">
        <v>263</v>
      </c>
      <c r="G19" s="5" t="s">
        <v>264</v>
      </c>
      <c r="H19" s="5" t="s">
        <v>21</v>
      </c>
      <c r="I19" s="6" t="str">
        <f t="shared" si="0"/>
        <v>https://casa-apuestas.example/apuestas-deportivas?utm_source=google&amp;utm_medium=cpc&amp;utm_campaign=conversion-apuestas-deportivas-co-2026-09&amp;utm_content=rsa-apuesta-en-vivo-juega-ahora-v01&amp;utm_term=apuestas-futbol&amp;utm_id=02</v>
      </c>
      <c r="J19" s="5" t="s">
        <v>76</v>
      </c>
      <c r="K19" s="5" t="s">
        <v>258</v>
      </c>
    </row>
    <row r="20" spans="1:11" ht="38.1" customHeight="1" x14ac:dyDescent="0.25">
      <c r="A20" s="5" t="s">
        <v>51</v>
      </c>
      <c r="B20" s="5" t="s">
        <v>265</v>
      </c>
      <c r="C20" s="5" t="s">
        <v>266</v>
      </c>
      <c r="D20" s="5" t="s">
        <v>227</v>
      </c>
      <c r="E20" s="5" t="s">
        <v>267</v>
      </c>
      <c r="F20" s="5" t="s">
        <v>268</v>
      </c>
      <c r="G20" s="5" t="s">
        <v>269</v>
      </c>
      <c r="H20" s="5" t="s">
        <v>24</v>
      </c>
      <c r="I20" s="6" t="str">
        <f t="shared" si="0"/>
        <v>https://casa-apuestas.example/recarga?utm_source=facebook&amp;utm_medium=paid_social&amp;utm_campaign=retencion-recarga-co-q4-2026&amp;utm_content=estatico-bono-recarga-v01&amp;utm_term=jugadores-inactivos-30d&amp;utm_id=03</v>
      </c>
      <c r="J20" s="5" t="s">
        <v>76</v>
      </c>
      <c r="K20" s="5" t="s">
        <v>258</v>
      </c>
    </row>
    <row r="21" spans="1:11" ht="38.1" customHeight="1" x14ac:dyDescent="0.25">
      <c r="A21" s="5" t="s">
        <v>63</v>
      </c>
      <c r="B21" s="5" t="s">
        <v>270</v>
      </c>
      <c r="C21" s="5" t="s">
        <v>271</v>
      </c>
      <c r="D21" s="5" t="s">
        <v>227</v>
      </c>
      <c r="E21" s="5" t="s">
        <v>272</v>
      </c>
      <c r="F21" s="5" t="s">
        <v>273</v>
      </c>
      <c r="G21" s="5" t="s">
        <v>274</v>
      </c>
      <c r="H21" s="5" t="s">
        <v>27</v>
      </c>
      <c r="I21" s="6" t="str">
        <f t="shared" si="0"/>
        <v>https://casa-apuestas.example/pronosticos?utm_source=tiktok&amp;utm_medium=paid_social&amp;utm_campaign=consideracion-pronosticos-deportivos-co-2026-09&amp;utm_content=video-pronostico-partido-apuesta-ahora-v02&amp;utm_term=remarketing-video-viewers&amp;utm_id=04</v>
      </c>
      <c r="J21" s="5" t="s">
        <v>76</v>
      </c>
      <c r="K21" s="5" t="s">
        <v>258</v>
      </c>
    </row>
    <row r="22" spans="1:11" ht="38.1" customHeight="1" x14ac:dyDescent="0.25">
      <c r="A22" s="5"/>
      <c r="B22" s="5"/>
      <c r="C22" s="5"/>
      <c r="D22" s="5"/>
      <c r="E22" s="5"/>
      <c r="F22" s="5"/>
      <c r="G22" s="5"/>
      <c r="H22" s="5"/>
      <c r="I22" s="6" t="str">
        <f t="shared" si="0"/>
        <v/>
      </c>
      <c r="J22" s="5"/>
      <c r="K22" s="5" t="s">
        <v>258</v>
      </c>
    </row>
    <row r="23" spans="1:11" ht="38.1" customHeight="1" x14ac:dyDescent="0.25">
      <c r="A23" s="5"/>
      <c r="B23" s="5"/>
      <c r="C23" s="5"/>
      <c r="D23" s="5"/>
      <c r="E23" s="5"/>
      <c r="F23" s="5"/>
      <c r="G23" s="5"/>
      <c r="H23" s="5"/>
      <c r="I23" s="6" t="str">
        <f t="shared" si="0"/>
        <v/>
      </c>
      <c r="J23" s="5"/>
      <c r="K23" s="5" t="s">
        <v>258</v>
      </c>
    </row>
    <row r="24" spans="1:11" ht="38.1" customHeight="1" x14ac:dyDescent="0.25">
      <c r="A24" s="5"/>
      <c r="B24" s="5"/>
      <c r="C24" s="5"/>
      <c r="D24" s="5"/>
      <c r="E24" s="5"/>
      <c r="F24" s="5"/>
      <c r="G24" s="5"/>
      <c r="H24" s="5"/>
      <c r="I24" s="6" t="str">
        <f t="shared" si="0"/>
        <v/>
      </c>
      <c r="J24" s="5"/>
      <c r="K24" s="5" t="s">
        <v>258</v>
      </c>
    </row>
    <row r="25" spans="1:11" ht="38.1" customHeight="1" x14ac:dyDescent="0.25">
      <c r="A25" s="5"/>
      <c r="B25" s="5"/>
      <c r="C25" s="5"/>
      <c r="D25" s="5"/>
      <c r="E25" s="5"/>
      <c r="F25" s="5"/>
      <c r="G25" s="5"/>
      <c r="H25" s="5"/>
      <c r="I25" s="6" t="str">
        <f t="shared" si="0"/>
        <v/>
      </c>
      <c r="J25" s="5"/>
      <c r="K25" s="5" t="s">
        <v>258</v>
      </c>
    </row>
    <row r="26" spans="1:11" ht="21.75" x14ac:dyDescent="0.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24.95" customHeight="1" x14ac:dyDescent="0.6">
      <c r="A27" s="21" t="s">
        <v>275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24.95" customHeight="1" x14ac:dyDescent="0.6">
      <c r="A28" s="3" t="s">
        <v>31</v>
      </c>
      <c r="B28" s="25" t="s">
        <v>276</v>
      </c>
      <c r="C28" s="26"/>
      <c r="D28" s="26"/>
      <c r="E28" s="26"/>
      <c r="F28" s="26"/>
      <c r="G28" s="26"/>
      <c r="H28" s="26"/>
      <c r="I28" s="26"/>
      <c r="J28" s="26"/>
      <c r="K28" s="26"/>
    </row>
    <row r="29" spans="1:11" ht="24.95" customHeight="1" x14ac:dyDescent="0.6">
      <c r="A29" s="3" t="s">
        <v>31</v>
      </c>
      <c r="B29" s="25" t="s">
        <v>277</v>
      </c>
      <c r="C29" s="26"/>
      <c r="D29" s="26"/>
      <c r="E29" s="26"/>
      <c r="F29" s="26"/>
      <c r="G29" s="26"/>
      <c r="H29" s="26"/>
      <c r="I29" s="26"/>
      <c r="J29" s="26"/>
      <c r="K29" s="26"/>
    </row>
    <row r="30" spans="1:11" ht="24.95" customHeight="1" x14ac:dyDescent="0.6">
      <c r="A30" s="3" t="s">
        <v>31</v>
      </c>
      <c r="B30" s="25" t="s">
        <v>278</v>
      </c>
      <c r="C30" s="26"/>
      <c r="D30" s="26"/>
      <c r="E30" s="26"/>
      <c r="F30" s="26"/>
      <c r="G30" s="26"/>
      <c r="H30" s="26"/>
      <c r="I30" s="26"/>
      <c r="J30" s="26"/>
      <c r="K30" s="26"/>
    </row>
    <row r="31" spans="1:11" ht="24.95" customHeight="1" x14ac:dyDescent="0.6">
      <c r="A31" s="3" t="s">
        <v>31</v>
      </c>
      <c r="B31" s="25" t="s">
        <v>279</v>
      </c>
      <c r="C31" s="26"/>
      <c r="D31" s="26"/>
      <c r="E31" s="26"/>
      <c r="F31" s="26"/>
      <c r="G31" s="26"/>
      <c r="H31" s="26"/>
      <c r="I31" s="26"/>
      <c r="J31" s="26"/>
      <c r="K31" s="26"/>
    </row>
    <row r="32" spans="1:11" ht="24.95" customHeight="1" x14ac:dyDescent="0.6">
      <c r="A32" s="3" t="s">
        <v>31</v>
      </c>
      <c r="B32" s="25" t="s">
        <v>280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11" ht="24.95" customHeight="1" x14ac:dyDescent="0.6">
      <c r="A33" s="3" t="s">
        <v>31</v>
      </c>
      <c r="B33" s="25" t="s">
        <v>281</v>
      </c>
      <c r="C33" s="26"/>
      <c r="D33" s="26"/>
      <c r="E33" s="26"/>
      <c r="F33" s="26"/>
      <c r="G33" s="26"/>
      <c r="H33" s="26"/>
      <c r="I33" s="26"/>
      <c r="J33" s="26"/>
      <c r="K33" s="26"/>
    </row>
  </sheetData>
  <mergeCells count="12">
    <mergeCell ref="A2:K3"/>
    <mergeCell ref="B28:K28"/>
    <mergeCell ref="B33:K33"/>
    <mergeCell ref="A1:K1"/>
    <mergeCell ref="A7:F7"/>
    <mergeCell ref="A27:K27"/>
    <mergeCell ref="B31:K31"/>
    <mergeCell ref="B32:K32"/>
    <mergeCell ref="A4:K5"/>
    <mergeCell ref="B30:K30"/>
    <mergeCell ref="A16:K16"/>
    <mergeCell ref="B29:K29"/>
  </mergeCells>
  <conditionalFormatting sqref="K18:K25">
    <cfRule type="expression" dxfId="1" priority="1">
      <formula>K18="Validada"</formula>
    </cfRule>
    <cfRule type="expression" dxfId="0" priority="2">
      <formula>K18="Error"</formula>
    </cfRule>
  </conditionalFormatting>
  <dataValidations count="3">
    <dataValidation type="list" allowBlank="1" showInputMessage="1" errorTitle="Valor no incluido" error="Elige un valor de la lista o revisa el est?ndar acordado." promptTitle="Valor recomendado" prompt="Selecciona el canal." sqref="A18:A25" xr:uid="{00000000-0002-0000-0300-000000000000}">
      <formula1>"Meta Ads,Google Ads,LinkedIn Ads,TikTok Ads"</formula1>
    </dataValidation>
    <dataValidation type="list" allowBlank="1" showInputMessage="1" errorTitle="Valor no incluido" error="Elige un valor de la lista o revisa el est?ndar acordado." promptTitle="Valor recomendado" prompt="Selecciona un medio consistente." sqref="D18:D25" xr:uid="{00000000-0002-0000-0300-000001000000}">
      <formula1>"paid_social,cpc,display,video,email,referral"</formula1>
    </dataValidation>
    <dataValidation type="list" allowBlank="1" showInputMessage="1" errorTitle="Valor no incluido" error="Elige un valor de la lista o revisa el est?ndar acordado." promptTitle="Valor recomendado" prompt="Marca Validada solo despu?s de probar el enlace." sqref="K18:K25" xr:uid="{00000000-0002-0000-0300-000002000000}">
      <formula1>"Pendiente,Validada,Error"</formula1>
    </dataValidation>
  </dataValidation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0505"/>
    <pageSetUpPr fitToPage="1"/>
  </sheetPr>
  <dimension ref="A1:J33"/>
  <sheetViews>
    <sheetView showGridLines="0" zoomScale="9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3" width="22" customWidth="1"/>
    <col min="4" max="4" width="44" customWidth="1"/>
    <col min="5" max="10" width="26" customWidth="1"/>
  </cols>
  <sheetData>
    <row r="1" spans="1:10" ht="24" customHeight="1" x14ac:dyDescent="0.6">
      <c r="A1" s="20" t="s">
        <v>282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8" t="s">
        <v>283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23.1" customHeight="1" x14ac:dyDescent="0.25">
      <c r="A4" s="27" t="s">
        <v>284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8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21.75" x14ac:dyDescent="0.6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24.95" customHeight="1" x14ac:dyDescent="0.6">
      <c r="A7" s="21" t="s">
        <v>285</v>
      </c>
      <c r="B7" s="22"/>
      <c r="C7" s="22"/>
      <c r="D7" s="22"/>
      <c r="E7" s="11"/>
      <c r="F7" s="11"/>
      <c r="G7" s="11"/>
      <c r="H7" s="11"/>
      <c r="I7" s="11"/>
      <c r="J7" s="11"/>
    </row>
    <row r="8" spans="1:10" ht="33.950000000000003" customHeight="1" x14ac:dyDescent="0.6">
      <c r="A8" s="4" t="s">
        <v>250</v>
      </c>
      <c r="B8" s="4" t="s">
        <v>286</v>
      </c>
      <c r="C8" s="4" t="s">
        <v>287</v>
      </c>
      <c r="D8" s="4" t="s">
        <v>288</v>
      </c>
      <c r="E8" s="10"/>
      <c r="F8" s="10"/>
      <c r="G8" s="10"/>
      <c r="H8" s="10"/>
      <c r="I8" s="10"/>
      <c r="J8" s="10"/>
    </row>
    <row r="9" spans="1:10" ht="38.1" customHeight="1" x14ac:dyDescent="0.6">
      <c r="A9" s="7" t="s">
        <v>289</v>
      </c>
      <c r="B9" s="7" t="s">
        <v>266</v>
      </c>
      <c r="C9" s="7" t="s">
        <v>227</v>
      </c>
      <c r="D9" s="7" t="s">
        <v>290</v>
      </c>
      <c r="E9" s="10"/>
      <c r="F9" s="10"/>
      <c r="G9" s="10"/>
      <c r="H9" s="10"/>
      <c r="I9" s="10"/>
      <c r="J9" s="10"/>
    </row>
    <row r="10" spans="1:10" ht="38.1" customHeight="1" x14ac:dyDescent="0.6">
      <c r="A10" s="7" t="s">
        <v>291</v>
      </c>
      <c r="B10" s="7" t="s">
        <v>222</v>
      </c>
      <c r="C10" s="7" t="s">
        <v>227</v>
      </c>
      <c r="D10" s="7" t="s">
        <v>292</v>
      </c>
      <c r="E10" s="10"/>
      <c r="F10" s="10"/>
      <c r="G10" s="10"/>
      <c r="H10" s="10"/>
      <c r="I10" s="10"/>
      <c r="J10" s="10"/>
    </row>
    <row r="11" spans="1:10" ht="38.1" customHeight="1" x14ac:dyDescent="0.6">
      <c r="A11" s="7" t="s">
        <v>293</v>
      </c>
      <c r="B11" s="7" t="s">
        <v>260</v>
      </c>
      <c r="C11" s="7" t="s">
        <v>261</v>
      </c>
      <c r="D11" s="7" t="s">
        <v>294</v>
      </c>
      <c r="E11" s="10"/>
      <c r="F11" s="10"/>
      <c r="G11" s="10"/>
      <c r="H11" s="10"/>
      <c r="I11" s="10"/>
      <c r="J11" s="10"/>
    </row>
    <row r="12" spans="1:10" ht="38.1" customHeight="1" x14ac:dyDescent="0.6">
      <c r="A12" s="7" t="s">
        <v>295</v>
      </c>
      <c r="B12" s="7" t="s">
        <v>260</v>
      </c>
      <c r="C12" s="7" t="s">
        <v>296</v>
      </c>
      <c r="D12" s="7" t="s">
        <v>297</v>
      </c>
      <c r="E12" s="10"/>
      <c r="F12" s="10"/>
      <c r="G12" s="10"/>
      <c r="H12" s="10"/>
      <c r="I12" s="10"/>
      <c r="J12" s="10"/>
    </row>
    <row r="13" spans="1:10" ht="38.1" customHeight="1" x14ac:dyDescent="0.6">
      <c r="A13" s="7" t="s">
        <v>298</v>
      </c>
      <c r="B13" s="7" t="s">
        <v>299</v>
      </c>
      <c r="C13" s="7" t="s">
        <v>300</v>
      </c>
      <c r="D13" s="7" t="s">
        <v>301</v>
      </c>
      <c r="E13" s="10"/>
      <c r="F13" s="10"/>
      <c r="G13" s="10"/>
      <c r="H13" s="10"/>
      <c r="I13" s="10"/>
      <c r="J13" s="10"/>
    </row>
    <row r="14" spans="1:10" ht="38.1" customHeight="1" x14ac:dyDescent="0.6">
      <c r="A14" s="7" t="s">
        <v>302</v>
      </c>
      <c r="B14" s="7" t="s">
        <v>303</v>
      </c>
      <c r="C14" s="7" t="s">
        <v>227</v>
      </c>
      <c r="D14" s="7" t="s">
        <v>304</v>
      </c>
      <c r="E14" s="10"/>
      <c r="F14" s="10"/>
      <c r="G14" s="10"/>
      <c r="H14" s="10"/>
      <c r="I14" s="10"/>
      <c r="J14" s="10"/>
    </row>
    <row r="15" spans="1:10" ht="38.1" customHeight="1" x14ac:dyDescent="0.6">
      <c r="A15" s="7" t="s">
        <v>305</v>
      </c>
      <c r="B15" s="7" t="s">
        <v>271</v>
      </c>
      <c r="C15" s="7" t="s">
        <v>227</v>
      </c>
      <c r="D15" s="7" t="s">
        <v>306</v>
      </c>
      <c r="E15" s="10"/>
      <c r="F15" s="10"/>
      <c r="G15" s="10"/>
      <c r="H15" s="10"/>
      <c r="I15" s="10"/>
      <c r="J15" s="10"/>
    </row>
    <row r="16" spans="1:10" ht="38.1" customHeight="1" x14ac:dyDescent="0.6">
      <c r="A16" s="7" t="s">
        <v>307</v>
      </c>
      <c r="B16" s="7" t="s">
        <v>308</v>
      </c>
      <c r="C16" s="7" t="s">
        <v>309</v>
      </c>
      <c r="D16" s="7" t="s">
        <v>310</v>
      </c>
      <c r="E16" s="10"/>
      <c r="F16" s="10"/>
      <c r="G16" s="10"/>
      <c r="H16" s="10"/>
      <c r="I16" s="10"/>
      <c r="J16" s="10"/>
    </row>
    <row r="17" spans="1:10" ht="21.75" x14ac:dyDescent="0.6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24.95" customHeight="1" x14ac:dyDescent="0.6">
      <c r="A18" s="21" t="s">
        <v>311</v>
      </c>
      <c r="B18" s="22"/>
      <c r="C18" s="22"/>
      <c r="D18" s="22"/>
      <c r="E18" s="22"/>
      <c r="F18" s="22"/>
      <c r="G18" s="11"/>
      <c r="H18" s="11"/>
      <c r="I18" s="11"/>
      <c r="J18" s="11"/>
    </row>
    <row r="19" spans="1:10" ht="33.950000000000003" customHeight="1" x14ac:dyDescent="0.6">
      <c r="A19" s="4" t="s">
        <v>312</v>
      </c>
      <c r="B19" s="4" t="s">
        <v>313</v>
      </c>
      <c r="C19" s="4" t="s">
        <v>314</v>
      </c>
      <c r="D19" s="4" t="s">
        <v>315</v>
      </c>
      <c r="E19" s="4" t="s">
        <v>184</v>
      </c>
      <c r="F19" s="4" t="s">
        <v>316</v>
      </c>
      <c r="G19" s="10"/>
      <c r="H19" s="10"/>
      <c r="I19" s="10"/>
      <c r="J19" s="10"/>
    </row>
    <row r="20" spans="1:10" ht="38.1" customHeight="1" x14ac:dyDescent="0.6">
      <c r="A20" s="7" t="s">
        <v>58</v>
      </c>
      <c r="B20" s="7" t="s">
        <v>73</v>
      </c>
      <c r="C20" s="7" t="s">
        <v>93</v>
      </c>
      <c r="D20" s="7" t="s">
        <v>134</v>
      </c>
      <c r="E20" s="7" t="s">
        <v>200</v>
      </c>
      <c r="F20" s="7" t="s">
        <v>258</v>
      </c>
      <c r="G20" s="10"/>
      <c r="H20" s="10"/>
      <c r="I20" s="10"/>
      <c r="J20" s="10"/>
    </row>
    <row r="21" spans="1:10" ht="38.1" customHeight="1" x14ac:dyDescent="0.6">
      <c r="A21" s="7" t="s">
        <v>53</v>
      </c>
      <c r="B21" s="7" t="s">
        <v>84</v>
      </c>
      <c r="C21" s="7" t="s">
        <v>101</v>
      </c>
      <c r="D21" s="7" t="s">
        <v>127</v>
      </c>
      <c r="E21" s="7" t="s">
        <v>182</v>
      </c>
      <c r="F21" s="7" t="s">
        <v>317</v>
      </c>
      <c r="G21" s="10"/>
      <c r="H21" s="10"/>
      <c r="I21" s="10"/>
      <c r="J21" s="10"/>
    </row>
    <row r="22" spans="1:10" ht="38.1" customHeight="1" x14ac:dyDescent="0.6">
      <c r="A22" s="7" t="s">
        <v>318</v>
      </c>
      <c r="B22" s="7" t="s">
        <v>80</v>
      </c>
      <c r="C22" s="7" t="s">
        <v>319</v>
      </c>
      <c r="D22" s="7" t="s">
        <v>190</v>
      </c>
      <c r="E22" s="7" t="s">
        <v>320</v>
      </c>
      <c r="F22" s="7" t="s">
        <v>321</v>
      </c>
      <c r="G22" s="10"/>
      <c r="H22" s="10"/>
      <c r="I22" s="10"/>
      <c r="J22" s="10"/>
    </row>
    <row r="23" spans="1:10" ht="38.1" customHeight="1" x14ac:dyDescent="0.6">
      <c r="A23" s="7" t="s">
        <v>64</v>
      </c>
      <c r="B23" s="7" t="s">
        <v>128</v>
      </c>
      <c r="C23" s="7" t="s">
        <v>322</v>
      </c>
      <c r="D23" s="7" t="s">
        <v>120</v>
      </c>
      <c r="E23" s="7" t="s">
        <v>323</v>
      </c>
      <c r="F23" s="7"/>
      <c r="G23" s="10"/>
      <c r="H23" s="10"/>
      <c r="I23" s="10"/>
      <c r="J23" s="10"/>
    </row>
    <row r="24" spans="1:10" ht="38.1" customHeight="1" x14ac:dyDescent="0.6">
      <c r="A24" s="7" t="s">
        <v>60</v>
      </c>
      <c r="B24" s="7"/>
      <c r="C24" s="7" t="s">
        <v>97</v>
      </c>
      <c r="D24" s="7" t="s">
        <v>324</v>
      </c>
      <c r="E24" s="7"/>
      <c r="F24" s="7"/>
      <c r="G24" s="10"/>
      <c r="H24" s="10"/>
      <c r="I24" s="10"/>
      <c r="J24" s="10"/>
    </row>
    <row r="25" spans="1:10" ht="38.1" customHeight="1" x14ac:dyDescent="0.6">
      <c r="A25" s="7"/>
      <c r="B25" s="7"/>
      <c r="C25" s="7" t="s">
        <v>325</v>
      </c>
      <c r="D25" s="7" t="s">
        <v>326</v>
      </c>
      <c r="E25" s="7"/>
      <c r="F25" s="7"/>
      <c r="G25" s="10"/>
      <c r="H25" s="10"/>
      <c r="I25" s="10"/>
      <c r="J25" s="10"/>
    </row>
    <row r="26" spans="1:10" ht="38.1" customHeight="1" x14ac:dyDescent="0.6">
      <c r="A26" s="7"/>
      <c r="B26" s="7"/>
      <c r="C26" s="7"/>
      <c r="D26" s="7" t="s">
        <v>327</v>
      </c>
      <c r="E26" s="7"/>
      <c r="F26" s="7"/>
      <c r="G26" s="10"/>
      <c r="H26" s="10"/>
      <c r="I26" s="10"/>
      <c r="J26" s="10"/>
    </row>
    <row r="27" spans="1:10" ht="21.75" x14ac:dyDescent="0.6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21.75" x14ac:dyDescent="0.6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24.95" customHeight="1" x14ac:dyDescent="0.6">
      <c r="A29" s="21" t="s">
        <v>328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ht="21.75" x14ac:dyDescent="0.6">
      <c r="A30" s="9" t="s">
        <v>329</v>
      </c>
      <c r="B30" s="25" t="s">
        <v>330</v>
      </c>
      <c r="C30" s="26"/>
      <c r="D30" s="26"/>
      <c r="E30" s="26"/>
      <c r="F30" s="26"/>
      <c r="G30" s="26"/>
      <c r="H30" s="26"/>
      <c r="I30" s="26"/>
      <c r="J30" s="26"/>
    </row>
    <row r="31" spans="1:10" ht="21.75" x14ac:dyDescent="0.6">
      <c r="A31" s="9" t="s">
        <v>329</v>
      </c>
      <c r="B31" s="25" t="s">
        <v>331</v>
      </c>
      <c r="C31" s="26"/>
      <c r="D31" s="26"/>
      <c r="E31" s="26"/>
      <c r="F31" s="26"/>
      <c r="G31" s="26"/>
      <c r="H31" s="26"/>
      <c r="I31" s="26"/>
      <c r="J31" s="26"/>
    </row>
    <row r="32" spans="1:10" ht="21.75" x14ac:dyDescent="0.6">
      <c r="A32" s="9" t="s">
        <v>329</v>
      </c>
      <c r="B32" s="25" t="s">
        <v>332</v>
      </c>
      <c r="C32" s="26"/>
      <c r="D32" s="26"/>
      <c r="E32" s="26"/>
      <c r="F32" s="26"/>
      <c r="G32" s="26"/>
      <c r="H32" s="26"/>
      <c r="I32" s="26"/>
      <c r="J32" s="26"/>
    </row>
    <row r="33" spans="1:10" ht="21.75" x14ac:dyDescent="0.6">
      <c r="A33" s="9" t="s">
        <v>329</v>
      </c>
      <c r="B33" s="25" t="s">
        <v>333</v>
      </c>
      <c r="C33" s="26"/>
      <c r="D33" s="26"/>
      <c r="E33" s="26"/>
      <c r="F33" s="26"/>
      <c r="G33" s="26"/>
      <c r="H33" s="26"/>
      <c r="I33" s="26"/>
      <c r="J33" s="26"/>
    </row>
  </sheetData>
  <mergeCells count="10">
    <mergeCell ref="B33:J33"/>
    <mergeCell ref="A1:J1"/>
    <mergeCell ref="B32:J32"/>
    <mergeCell ref="B31:J31"/>
    <mergeCell ref="A7:D7"/>
    <mergeCell ref="A29:J29"/>
    <mergeCell ref="A18:F18"/>
    <mergeCell ref="A4:J5"/>
    <mergeCell ref="A2:J3"/>
    <mergeCell ref="B30:J30"/>
  </mergeCells>
  <pageMargins left="0.25" right="0.25" top="0.45" bottom="0.45" header="0.5" footer="0.5"/>
  <pageSetup fitToHeight="0" orientation="landscape"/>
  <headerFooter>
    <oddHeader>&amp;C&amp;BFRAMEWORK DIGITAL · Nomenclaturas y UTMs</oddHeader>
    <oddFooter>&amp;LPlantilla de ejemplo&amp;RP?gina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00_Inicio</vt:lpstr>
      <vt:lpstr>01_Plataformas</vt:lpstr>
      <vt:lpstr>02_Carpetas_docs</vt:lpstr>
      <vt:lpstr>03_UTMs</vt:lpstr>
      <vt:lpstr>04_Catalogos</vt:lpstr>
      <vt:lpstr>'00_Inicio'!Área_de_impresión</vt:lpstr>
      <vt:lpstr>'01_Plataformas'!Área_de_impresión</vt:lpstr>
      <vt:lpstr>'02_Carpetas_docs'!Área_de_impresión</vt:lpstr>
      <vt:lpstr>'03_UTMs'!Área_de_impresión</vt:lpstr>
      <vt:lpstr>'04_Catalogos'!Área_de_impresión</vt:lpstr>
      <vt:lpstr>'01_Plataformas'!Títulos_a_imprimir</vt:lpstr>
      <vt:lpstr>'03_UTMs'!Títulos_a_imprimir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de nomenclaturas y UTMs · Apuestas deportivas</dc:title>
  <dc:subject>Ejemplo para una casa de apuestas deportivas</dc:subject>
  <dc:creator>Adcom</dc:creator>
  <dc:description>Convenciones para campañas, audiencias, anuncios, documentos y enlaces UTM de una casa de apuestas deportivas.</dc:description>
  <cp:lastModifiedBy>Adcom</cp:lastModifiedBy>
  <dcterms:created xsi:type="dcterms:W3CDTF">2026-09-04T13:53:22Z</dcterms:created>
  <dcterms:modified xsi:type="dcterms:W3CDTF">2026-09-04T14:19:03Z</dcterms:modified>
</cp:coreProperties>
</file>